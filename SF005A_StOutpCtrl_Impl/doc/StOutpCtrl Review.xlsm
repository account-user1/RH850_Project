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05A_StOutpCtrl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<sst xmlns="http://schemas.openxmlformats.org/spreadsheetml/2006/main" count="987" uniqueCount="220">
  <si>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</si>
  <si>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</si>
  <si>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</si>
  <si>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</si>
  <si>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</si>
  <si>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</si>
  <si>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</si>
  <si>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</si>
  <si>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</si>
  <si>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</si>
  <si>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</si>
  <si>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</si>
  <si>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</si>
  <si>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</si>
  <si>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</si>
  <si>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</si>
  <si>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</si>
  <si>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</si>
  <si>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</si>
  <si>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</si>
  <si>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</si>
  <si>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</si>
  <si>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</si>
  <si>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</si>
  <si>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</si>
  <si>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</si>
  <si>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</si>
  <si>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</si>
  <si>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</si>
  <si>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</si>
  <si>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</si>
  <si>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</si>
  <si>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</si>
  <si>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</si>
  <si>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</si>
  <si>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</si>
  <si>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</si>
  <si>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</si>
  <si>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</si>
  <si>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</si>
  <si>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</si>
  <si>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</si>
  <si>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</si>
  <si>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</si>
  <si>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</si>
  <si>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</si>
  <si>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</si>
  <si>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</si>
  <si>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</si>
  <si>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</si>
  <si>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</si>
  <si>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</si>
  <si>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</si>
  <si>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</si>
  <si>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</si>
  <si>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</si>
  <si>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</si>
  <si>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</si>
  <si>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</si>
  <si>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</si>
  <si>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</si>
  <si>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</si>
  <si>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</si>
  <si>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</si>
  <si>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</si>
  <si>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</si>
  <si>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</si>
  <si>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</si>
  <si>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</si>
  <si>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</si>
  <si>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</si>
  <si>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</si>
  <si>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</si>
  <si>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</si>
  <si>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</si>
  <si>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</si>
  <si>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</si>
  <si>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</si>
  <si>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</si>
  <si>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</si>
  <si>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</si>
  <si>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</si>
  <si>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</si>
  <si>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</si>
  <si>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</si>
  <si>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</si>
  <si>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</si>
  <si>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</si>
  <si>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</si>
  <si>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</si>
  <si>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</si>
  <si>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</si>
  <si>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</si>
  <si>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</si>
  <si>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</si>
  <si>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</si>
  <si>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</si>
  <si>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</si>
  <si>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</si>
  <si>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</si>
  <si>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</si>
  <si>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</si>
  <si>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</si>
  <si>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</si>
  <si>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</si>
  <si>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</si>
  <si>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</si>
  <si>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</si>
  <si>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</si>
  <si>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</si>
  <si>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</si>
  <si>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</si>
  <si>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</si>
  <si>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</si>
  <si>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</si>
  <si>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</si>
  <si>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</si>
  <si>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</si>
  <si>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</si>
  <si>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</si>
  <si>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</si>
  <si>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</si>
  <si>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</si>
  <si>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</si>
  <si>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</si>
  <si>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</si>
  <si>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</si>
  <si>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</si>
  <si>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</si>
  <si>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</si>
  <si>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</si>
  <si>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</si>
  <si>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</si>
  <si>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</si>
  <si>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</si>
  <si>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</si>
  <si>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</si>
  <si>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</si>
  <si>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</si>
  <si>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</si>
  <si>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</si>
  <si>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</si>
  <si>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</si>
  <si>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</si>
  <si>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</si>
  <si>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</si>
  <si>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</si>
  <si>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</si>
  <si>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</si>
  <si>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</si>
  <si>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</si>
  <si>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</si>
  <si>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</si>
  <si>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</si>
  <si>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</si>
  <si>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</si>
  <si>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</si>
  <si>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</si>
  <si>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</si>
  <si>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</si>
  <si>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</si>
  <si>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</si>
  <si>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</si>
  <si>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</si>
  <si>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</si>
  <si>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</si>
  <si>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</si>
  <si>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</si>
  <si>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</si>
  <si>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</si>
  <si>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</si>
  <si>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</si>
  <si>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</si>
  <si>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</si>
  <si>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</si>
  <si>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</si>
  <si>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</si>
  <si>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</si>
  <si>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</si>
  <si>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</si>
  <si>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</si>
  <si>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</si>
  <si>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</si>
  <si>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</si>
  <si>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</si>
  <si>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</si>
  <si>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</si>
  <si>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</si>
  <si>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</si>
  <si>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</si>
  <si>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</si>
  <si>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</si>
  <si>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</si>
  <si>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</si>
  <si>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</si>
  <si>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</si>
  <si>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</si>
  <si>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</si>
  <si>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</si>
  <si>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</si>
  <si>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</si>
  <si>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</si>
  <si>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</si>
  <si>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</si>
  <si>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</si>
  <si>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Brendon Binder</t>
  </si>
  <si>
    <t>Matt Leser</t>
  </si>
  <si>
    <t>Krishna Anne</t>
  </si>
  <si>
    <t>2013B</t>
  </si>
  <si>
    <t>Application</t>
  </si>
  <si>
    <t>Brionna Spencer</t>
  </si>
  <si>
    <t>SF005A_StOutpCtrl_Impl</t>
  </si>
  <si>
    <t>EA4#11057</t>
  </si>
  <si>
    <t>SF005A_StOutpCtrl_Impl_1.5.0</t>
  </si>
  <si>
    <t>StOutpCtrl.c</t>
  </si>
  <si>
    <t>StOutpCtrl_MDD.doc</t>
  </si>
  <si>
    <t>SF005A_StOutpCtrl_Design</t>
  </si>
  <si>
    <t>1.4.0</t>
  </si>
  <si>
    <t>Tags Removed</t>
  </si>
  <si>
    <t>Version: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</si>
</sst>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23" sqref="E23"/>
    </sheetView>
  </sheetViews>
  <sheetFormatPr defaultRowHeight="12.75" x14ac:dyDescent="0.2"/>
  <cols>
    <col min="3" max="5" width="4.7109375" customWidth="1"/>
    <col min="6" max="6" width="6.42578125" customWidth="1"/>
    <col min="7" max="26" width="4.7109375" customWidth="1"/>
    <col min="27" max="27" width="5.14062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211</v>
      </c>
      <c r="H4" s="111"/>
      <c r="I4" s="111"/>
      <c r="J4" s="111"/>
      <c r="K4" s="111"/>
      <c r="L4" s="111"/>
      <c r="M4" s="111"/>
      <c r="N4" s="111"/>
      <c r="O4" s="111"/>
      <c r="P4" s="25"/>
      <c r="Q4" s="6" t="s">
        <v>123</v>
      </c>
      <c r="R4" s="25"/>
      <c r="S4" s="25"/>
      <c r="T4" s="25"/>
      <c r="U4" s="112" t="s">
        <v>213</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212</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U30" sqref="U30"/>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26">
        <v>42865</v>
      </c>
      <c r="T28" s="126"/>
      <c r="AA28" s="13"/>
    </row>
    <row r="29" spans="3:27" x14ac:dyDescent="0.2">
      <c r="C29" s="12"/>
      <c r="AA29" s="13"/>
    </row>
    <row r="30" spans="3:27" ht="13.5" thickBot="1" x14ac:dyDescent="0.25">
      <c r="C30" s="12"/>
      <c r="D30" s="6" t="s">
        <v>41</v>
      </c>
      <c r="E30" s="9"/>
      <c r="F30" s="25"/>
      <c r="G30" s="25"/>
      <c r="H30" s="112" t="s">
        <v>207</v>
      </c>
      <c r="I30" s="113"/>
      <c r="J30" s="113"/>
      <c r="K30" s="113"/>
      <c r="L30" s="113"/>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2" t="s">
        <v>205</v>
      </c>
      <c r="I32" s="113"/>
      <c r="J32" s="113"/>
      <c r="K32" s="113"/>
      <c r="L32" s="113"/>
      <c r="M32" s="25"/>
      <c r="N32" s="112" t="s">
        <v>206</v>
      </c>
      <c r="O32" s="113"/>
      <c r="P32" s="113"/>
      <c r="Q32" s="113"/>
      <c r="R32" s="113"/>
      <c r="S32" s="25"/>
      <c r="T32" s="112" t="s">
        <v>210</v>
      </c>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67" zoomScale="145" zoomScaleNormal="145" workbookViewId="0">
      <selection activeCell="S78" sqref="S7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2</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2</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12" t="str">
        <f>IF((ISBLANK('Synergy Project'!G28))," ",'Synergy Project'!G28)</f>
        <v>Shawn Penning</v>
      </c>
      <c r="H76" s="113"/>
      <c r="I76" s="113"/>
      <c r="J76" s="113"/>
      <c r="K76" s="113"/>
      <c r="L76" s="113"/>
      <c r="M76" s="102"/>
      <c r="N76" s="19" t="s">
        <v>0</v>
      </c>
      <c r="O76" s="102"/>
      <c r="P76" s="102"/>
      <c r="Q76" s="126">
        <f>IF((ISBLANK('Synergy Project'!$S$28))," ",'Synergy Project'!$S$28)</f>
        <v>42865</v>
      </c>
      <c r="R76" s="126"/>
      <c r="S76" s="102"/>
      <c r="T76" s="103" t="s">
        <v>102</v>
      </c>
      <c r="U76" s="102"/>
      <c r="V76" s="102"/>
      <c r="W76" s="102"/>
      <c r="X76" s="126" t="s">
        <v>209</v>
      </c>
      <c r="Y76" s="126"/>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12" t="str">
        <f>IF((ISBLANK('Synergy Project'!$H$30))," ",'Synergy Project'!$H$30)</f>
        <v>Krishna Anne</v>
      </c>
      <c r="I78" s="113"/>
      <c r="J78" s="113"/>
      <c r="K78" s="113"/>
      <c r="L78" s="113"/>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12" t="str">
        <f>IF((ISBLANK('Synergy Project'!$H$32))," ",'Synergy Project'!$H$32)</f>
        <v>Brendon Binder</v>
      </c>
      <c r="I80" s="113"/>
      <c r="J80" s="113"/>
      <c r="K80" s="113"/>
      <c r="L80" s="113"/>
      <c r="M80" s="25"/>
      <c r="N80" s="113" t="str">
        <f>IF((ISBLANK('Synergy Project'!$N$32))," ",'Synergy Project'!$N$32)</f>
        <v>Matt Leser</v>
      </c>
      <c r="O80" s="113"/>
      <c r="P80" s="113"/>
      <c r="Q80" s="113"/>
      <c r="R80" s="113"/>
      <c r="S80" s="25"/>
      <c r="T80" s="113" t="str">
        <f>IF((ISBLANK('Synergy Project'!$T$32))," ",'Synergy Project'!$T$32)</f>
        <v>Brionna Spencer</v>
      </c>
      <c r="U80" s="113"/>
      <c r="V80" s="113"/>
      <c r="W80" s="113"/>
      <c r="X80" s="113"/>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13" t="str">
        <f>IF((ISBLANK('Synergy Project'!$H$34))," ",'Synergy Project'!$H$34)</f>
        <v xml:space="preserve"> </v>
      </c>
      <c r="I82" s="113"/>
      <c r="J82" s="113"/>
      <c r="K82" s="113"/>
      <c r="L82" s="113"/>
      <c r="M82" s="25"/>
      <c r="N82" s="113" t="str">
        <f>IF((ISBLANK('Synergy Project'!$N$34))," ",'Synergy Project'!$N$34)</f>
        <v xml:space="preserve"> </v>
      </c>
      <c r="O82" s="113"/>
      <c r="P82" s="113"/>
      <c r="Q82" s="113"/>
      <c r="R82" s="113"/>
      <c r="S82" s="25"/>
      <c r="T82" s="113" t="str">
        <f>IF((ISBLANK('Synergy Project'!$T$34))," ",'Synergy Project'!$T$34)</f>
        <v xml:space="preserve"> </v>
      </c>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07"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214</v>
      </c>
      <c r="H4" s="112"/>
      <c r="I4" s="112"/>
      <c r="J4" s="112"/>
      <c r="K4" s="112"/>
      <c r="L4" s="112"/>
      <c r="M4" s="112"/>
      <c r="N4" s="112"/>
      <c r="O4" s="112"/>
      <c r="P4" s="112"/>
      <c r="Q4" s="112"/>
      <c r="S4" s="6" t="s">
        <v>13</v>
      </c>
      <c r="T4" s="6"/>
      <c r="U4" s="6"/>
      <c r="W4" s="112">
        <v>5</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215</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216</v>
      </c>
      <c r="J9" s="112"/>
      <c r="K9" s="112"/>
      <c r="L9" s="112"/>
      <c r="M9" s="112"/>
      <c r="N9" s="112"/>
      <c r="O9" s="112"/>
      <c r="P9" s="112"/>
      <c r="Q9" s="112"/>
      <c r="R9" s="112"/>
      <c r="S9" s="112"/>
      <c r="T9" s="112"/>
      <c r="U9" s="112"/>
      <c r="V9" s="112"/>
      <c r="W9" s="6"/>
      <c r="X9" s="6" t="s">
        <v>180</v>
      </c>
      <c r="Y9" s="6"/>
      <c r="Z9" s="112" t="s">
        <v>217</v>
      </c>
      <c r="AA9" s="112"/>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1" t="s">
        <v>218</v>
      </c>
      <c r="R31" s="131"/>
      <c r="S31" s="131"/>
      <c r="T31" s="131"/>
      <c r="U31" s="131"/>
      <c r="V31" s="131"/>
      <c r="W31" s="131"/>
      <c r="X31" s="131"/>
      <c r="Y31" s="131"/>
      <c r="Z31" s="131"/>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8"/>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75" x14ac:dyDescent="0.25">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75" x14ac:dyDescent="0.25">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t="s">
        <v>124</v>
      </c>
      <c r="P41" s="84"/>
      <c r="Q41" s="6" t="s">
        <v>4</v>
      </c>
      <c r="R41" s="9"/>
      <c r="S41" s="6"/>
      <c r="T41" s="130"/>
      <c r="U41" s="130"/>
      <c r="V41" s="130"/>
      <c r="W41" s="130"/>
      <c r="X41" s="130"/>
      <c r="Y41" s="130"/>
      <c r="Z41" s="130"/>
      <c r="AA41" s="6"/>
      <c r="AB41" s="3"/>
    </row>
    <row r="42" spans="3:28" ht="15.75" x14ac:dyDescent="0.25">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1" t="s">
        <v>219</v>
      </c>
      <c r="R52" s="131"/>
      <c r="S52" s="131"/>
      <c r="T52" s="131"/>
      <c r="U52" s="131"/>
      <c r="V52" s="131"/>
      <c r="W52" s="131"/>
      <c r="X52" s="131"/>
      <c r="Y52" s="131"/>
      <c r="Z52" s="131"/>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13" t="str">
        <f>IF((ISBLANK('Synergy Project'!$G$28))," ",'Synergy Project'!$G$28)</f>
        <v>Shawn Penning</v>
      </c>
      <c r="H125" s="113"/>
      <c r="I125" s="113"/>
      <c r="J125" s="113"/>
      <c r="K125" s="113"/>
      <c r="L125" s="113"/>
      <c r="M125" s="102"/>
      <c r="N125" s="102"/>
      <c r="O125" s="102"/>
      <c r="P125" s="19" t="s">
        <v>0</v>
      </c>
      <c r="Q125" s="19"/>
      <c r="R125" s="19"/>
      <c r="S125" s="126">
        <f>IF((ISBLANK('Synergy Project'!$S$28))," ",'Synergy Project'!$S$28)</f>
        <v>42865</v>
      </c>
      <c r="T125" s="126"/>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13" t="str">
        <f>IF((ISBLANK('Synergy Project'!$H$30))," ",'Synergy Project'!$H$30)</f>
        <v>Krishna Anne</v>
      </c>
      <c r="I127" s="113"/>
      <c r="J127" s="113"/>
      <c r="K127" s="113"/>
      <c r="L127" s="113"/>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13" t="str">
        <f>IF((ISBLANK('Synergy Project'!$H$32))," ",'Synergy Project'!$H$32)</f>
        <v>Brendon Binder</v>
      </c>
      <c r="I129" s="113"/>
      <c r="J129" s="113"/>
      <c r="K129" s="113"/>
      <c r="L129" s="113"/>
      <c r="M129" s="25"/>
      <c r="N129" s="113" t="str">
        <f>IF((ISBLANK('Synergy Project'!$N$32))," ",'Synergy Project'!$N$32)</f>
        <v>Matt Leser</v>
      </c>
      <c r="O129" s="113"/>
      <c r="P129" s="113"/>
      <c r="Q129" s="113"/>
      <c r="R129" s="113"/>
      <c r="S129" s="25"/>
      <c r="T129" s="113" t="str">
        <f>IF((ISBLANK('Synergy Project'!$T$32))," ",'Synergy Project'!$T$32)</f>
        <v>Brionna Spencer</v>
      </c>
      <c r="U129" s="113"/>
      <c r="V129" s="113"/>
      <c r="W129" s="113"/>
      <c r="X129" s="113"/>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13" t="str">
        <f>IF((ISBLANK('Synergy Project'!$H$34))," ",'Synergy Project'!$H$34)</f>
        <v xml:space="preserve"> </v>
      </c>
      <c r="I131" s="113"/>
      <c r="J131" s="113"/>
      <c r="K131" s="113"/>
      <c r="L131" s="113"/>
      <c r="M131" s="25"/>
      <c r="N131" s="113" t="str">
        <f>IF((ISBLANK('Synergy Project'!$N$34))," ",'Synergy Project'!$N$34)</f>
        <v xml:space="preserve"> </v>
      </c>
      <c r="O131" s="113"/>
      <c r="P131" s="113"/>
      <c r="Q131" s="113"/>
      <c r="R131" s="113"/>
      <c r="S131" s="25"/>
      <c r="T131" s="113" t="str">
        <f>IF((ISBLANK('Synergy Project'!$T$34))," ",'Synergy Project'!$T$34)</f>
        <v xml:space="preserve"> </v>
      </c>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0" zoomScale="85" zoomScaleNormal="85" workbookViewId="0">
      <selection activeCell="C43" sqref="C43:AA5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13" t="str">
        <f>IF((ISBLANK('Synergy Project'!$G$28))," ",'Synergy Project'!$G$28)</f>
        <v>Shawn Penning</v>
      </c>
      <c r="H45" s="113"/>
      <c r="I45" s="113"/>
      <c r="J45" s="113"/>
      <c r="K45" s="113"/>
      <c r="L45" s="113"/>
      <c r="M45" s="102"/>
      <c r="N45" s="102"/>
      <c r="O45" s="102"/>
      <c r="P45" s="19" t="s">
        <v>0</v>
      </c>
      <c r="Q45" s="19"/>
      <c r="R45" s="19"/>
      <c r="S45" s="126">
        <f>IF((ISBLANK('Synergy Project'!$S$28))," ",'Synergy Project'!$S$28)</f>
        <v>42865</v>
      </c>
      <c r="T45" s="126"/>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13" t="str">
        <f>IF((ISBLANK('Synergy Project'!$H$30))," ",'Synergy Project'!$H$30)</f>
        <v>Krishna Anne</v>
      </c>
      <c r="I47" s="113"/>
      <c r="J47" s="113"/>
      <c r="K47" s="113"/>
      <c r="L47" s="113"/>
      <c r="M47" s="102"/>
      <c r="N47" s="102" t="s">
        <v>47</v>
      </c>
      <c r="O47" s="102"/>
      <c r="P47" s="6"/>
      <c r="Q47" s="9"/>
      <c r="R47" s="102"/>
      <c r="S47" s="102"/>
      <c r="T47" s="102"/>
      <c r="U47" s="100"/>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13" t="str">
        <f>IF((ISBLANK('Synergy Project'!$H$32))," ",'Synergy Project'!$H$32)</f>
        <v>Brendon Binder</v>
      </c>
      <c r="I49" s="113"/>
      <c r="J49" s="113"/>
      <c r="K49" s="113"/>
      <c r="L49" s="113"/>
      <c r="M49" s="25"/>
      <c r="N49" s="113" t="str">
        <f>IF((ISBLANK('Synergy Project'!$N$32))," ",'Synergy Project'!$N$32)</f>
        <v>Matt Leser</v>
      </c>
      <c r="O49" s="113"/>
      <c r="P49" s="113"/>
      <c r="Q49" s="113"/>
      <c r="R49" s="113"/>
      <c r="S49" s="25"/>
      <c r="T49" s="113" t="str">
        <f>IF((ISBLANK('Synergy Project'!$T$32))," ",'Synergy Project'!$T$32)</f>
        <v>Brionna Spencer</v>
      </c>
      <c r="U49" s="113"/>
      <c r="V49" s="113"/>
      <c r="W49" s="113"/>
      <c r="X49" s="113"/>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13" t="str">
        <f>IF((ISBLANK('Synergy Project'!$H$34))," ",'Synergy Project'!$H$34)</f>
        <v xml:space="preserve"> </v>
      </c>
      <c r="I51" s="113"/>
      <c r="J51" s="113"/>
      <c r="K51" s="113"/>
      <c r="L51" s="113"/>
      <c r="M51" s="25"/>
      <c r="N51" s="113" t="str">
        <f>IF((ISBLANK('Synergy Project'!$N$34))," ",'Synergy Project'!$N$34)</f>
        <v xml:space="preserve"> </v>
      </c>
      <c r="O51" s="113"/>
      <c r="P51" s="113"/>
      <c r="Q51" s="113"/>
      <c r="R51" s="113"/>
      <c r="S51" s="25"/>
      <c r="T51" s="113" t="str">
        <f>IF((ISBLANK('Synergy Project'!$T$34))," ",'Synergy Project'!$T$34)</f>
        <v xml:space="preserve"> </v>
      </c>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9" zoomScale="85" zoomScaleNormal="85" workbookViewId="0">
      <selection activeCell="U43" sqref="U43"/>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2" t="s">
        <v>214</v>
      </c>
      <c r="I4" s="112"/>
      <c r="J4" s="112"/>
      <c r="K4" s="112"/>
      <c r="L4" s="112"/>
      <c r="M4" s="112"/>
      <c r="N4" s="112"/>
      <c r="O4" s="112"/>
      <c r="P4" s="112"/>
      <c r="Q4" s="112"/>
      <c r="R4" s="112"/>
      <c r="S4" s="112"/>
      <c r="T4" s="112"/>
      <c r="U4" s="6" t="s">
        <v>13</v>
      </c>
      <c r="V4" s="6"/>
      <c r="W4" s="6"/>
      <c r="X4" s="6"/>
      <c r="Y4" s="112">
        <v>5</v>
      </c>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v>1.2</v>
      </c>
      <c r="N8" s="112"/>
      <c r="O8" s="112"/>
      <c r="P8" s="112"/>
      <c r="Q8" s="112"/>
      <c r="R8" s="112"/>
      <c r="S8" s="112"/>
      <c r="T8" s="112"/>
      <c r="U8" s="6"/>
      <c r="V8" s="6"/>
      <c r="W8" s="6"/>
      <c r="X8" s="6"/>
      <c r="Y8" s="86"/>
      <c r="Z8" s="86"/>
      <c r="AA8" s="6"/>
      <c r="AB8" s="3"/>
    </row>
    <row r="9" spans="3:28" ht="16.5" thickBot="1" x14ac:dyDescent="0.3">
      <c r="D9" s="35" t="s">
        <v>188</v>
      </c>
      <c r="E9" s="6"/>
      <c r="F9" s="6"/>
      <c r="G9" s="6"/>
      <c r="H9" s="112" t="s">
        <v>208</v>
      </c>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75" x14ac:dyDescent="0.25">
      <c r="C16" s="104"/>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40" t="s">
        <v>194</v>
      </c>
      <c r="E18" s="141"/>
      <c r="F18" s="141"/>
      <c r="G18" s="141"/>
      <c r="H18" s="141"/>
      <c r="I18" s="141"/>
      <c r="J18" s="141"/>
      <c r="K18" s="141"/>
      <c r="L18" s="141"/>
      <c r="M18" s="141"/>
      <c r="N18" s="7" t="s">
        <v>6</v>
      </c>
      <c r="O18" s="42" t="s">
        <v>2</v>
      </c>
      <c r="P18" s="84"/>
      <c r="Q18" s="6" t="s">
        <v>4</v>
      </c>
      <c r="R18" s="9"/>
      <c r="S18" s="6"/>
      <c r="T18" s="130"/>
      <c r="U18" s="130"/>
      <c r="V18" s="130"/>
      <c r="W18" s="130"/>
      <c r="X18" s="130"/>
      <c r="Y18" s="130"/>
      <c r="Z18" s="130"/>
      <c r="AA18" s="6"/>
      <c r="AB18" s="3"/>
    </row>
    <row r="19" spans="3:28" ht="15.75" x14ac:dyDescent="0.25">
      <c r="C19" s="104"/>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4"/>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4"/>
      <c r="D21" s="62" t="s">
        <v>198</v>
      </c>
      <c r="E21" s="84"/>
      <c r="G21" s="49"/>
      <c r="H21" s="84"/>
      <c r="I21" s="83"/>
      <c r="J21" s="83"/>
      <c r="K21" s="83"/>
      <c r="L21" s="84"/>
      <c r="M21" s="84"/>
      <c r="N21" s="7" t="s">
        <v>6</v>
      </c>
      <c r="O21" s="42" t="s">
        <v>124</v>
      </c>
      <c r="P21" s="84"/>
      <c r="Q21" s="6" t="s">
        <v>4</v>
      </c>
      <c r="R21" s="9"/>
      <c r="S21" s="6"/>
      <c r="T21" s="130"/>
      <c r="U21" s="130"/>
      <c r="V21" s="130"/>
      <c r="W21" s="130"/>
      <c r="X21" s="130"/>
      <c r="Y21" s="130"/>
      <c r="Z21" s="130"/>
      <c r="AA21" s="6"/>
      <c r="AB21" s="3"/>
    </row>
    <row r="22" spans="3:28" ht="15.75" x14ac:dyDescent="0.25">
      <c r="C22" s="104"/>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30"/>
      <c r="U24" s="130"/>
      <c r="V24" s="130"/>
      <c r="W24" s="130"/>
      <c r="X24" s="130"/>
      <c r="Y24" s="130"/>
      <c r="Z24" s="130"/>
      <c r="AA24" s="6"/>
      <c r="AB24" s="3"/>
    </row>
    <row r="25" spans="3:28" ht="15.75" x14ac:dyDescent="0.25">
      <c r="C25" s="104"/>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30"/>
      <c r="U27" s="130"/>
      <c r="V27" s="130"/>
      <c r="W27" s="130"/>
      <c r="X27" s="130"/>
      <c r="Y27" s="130"/>
      <c r="Z27" s="130"/>
      <c r="AA27" s="6"/>
      <c r="AB27" s="3"/>
    </row>
    <row r="28" spans="3:28" ht="15.75" x14ac:dyDescent="0.25">
      <c r="C28" s="104"/>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13" t="str">
        <f>IF((ISBLANK('Synergy Project'!$G$28))," ",'Synergy Project'!$G$28)</f>
        <v>Shawn Penning</v>
      </c>
      <c r="H41" s="113"/>
      <c r="I41" s="113"/>
      <c r="J41" s="113"/>
      <c r="K41" s="113"/>
      <c r="L41" s="113"/>
      <c r="M41" s="102"/>
      <c r="N41" s="102"/>
      <c r="O41" s="102"/>
      <c r="P41" s="19" t="s">
        <v>0</v>
      </c>
      <c r="Q41" s="19"/>
      <c r="R41" s="19"/>
      <c r="S41" s="126">
        <f>IF((ISBLANK('Synergy Project'!$S$28))," ",'Synergy Project'!$S$28)</f>
        <v>42865</v>
      </c>
      <c r="T41" s="126"/>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13" t="str">
        <f>IF((ISBLANK('Synergy Project'!$H$30))," ",'Synergy Project'!$H$30)</f>
        <v>Krishna Anne</v>
      </c>
      <c r="I43" s="113"/>
      <c r="J43" s="113"/>
      <c r="K43" s="113"/>
      <c r="L43" s="113"/>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13" t="str">
        <f>IF((ISBLANK('Synergy Project'!$H$32))," ",'Synergy Project'!$H$32)</f>
        <v>Brendon Binder</v>
      </c>
      <c r="I45" s="113"/>
      <c r="J45" s="113"/>
      <c r="K45" s="113"/>
      <c r="L45" s="113"/>
      <c r="M45" s="25"/>
      <c r="N45" s="113" t="str">
        <f>IF((ISBLANK('Synergy Project'!$N$32))," ",'Synergy Project'!$N$32)</f>
        <v>Matt Leser</v>
      </c>
      <c r="O45" s="113"/>
      <c r="P45" s="113"/>
      <c r="Q45" s="113"/>
      <c r="R45" s="113"/>
      <c r="S45" s="25"/>
      <c r="T45" s="113" t="str">
        <f>IF((ISBLANK('Synergy Project'!$T$32))," ",'Synergy Project'!$T$32)</f>
        <v>Brionna Spencer</v>
      </c>
      <c r="U45" s="113"/>
      <c r="V45" s="113"/>
      <c r="W45" s="113"/>
      <c r="X45" s="113"/>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13" t="str">
        <f>IF((ISBLANK('Synergy Project'!$H$34))," ",'Synergy Project'!$H$34)</f>
        <v xml:space="preserve"> </v>
      </c>
      <c r="I47" s="113"/>
      <c r="J47" s="113"/>
      <c r="K47" s="113"/>
      <c r="L47" s="113"/>
      <c r="M47" s="25"/>
      <c r="N47" s="113" t="str">
        <f>IF((ISBLANK('Synergy Project'!$N$34))," ",'Synergy Project'!$N$34)</f>
        <v xml:space="preserve"> </v>
      </c>
      <c r="O47" s="113"/>
      <c r="P47" s="113"/>
      <c r="Q47" s="113"/>
      <c r="R47" s="113"/>
      <c r="S47" s="25"/>
      <c r="T47" s="113" t="str">
        <f>IF((ISBLANK('Synergy Project'!$T$34))," ",'Synergy Project'!$T$34)</f>
        <v xml:space="preserve"> </v>
      </c>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5" workbookViewId="0">
      <selection activeCell="H30" sqref="H30:L3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75" x14ac:dyDescent="0.25">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75" x14ac:dyDescent="0.25">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t="s">
        <v>6</v>
      </c>
      <c r="P14" s="84"/>
      <c r="Q14" s="6" t="s">
        <v>4</v>
      </c>
      <c r="R14" s="9"/>
      <c r="S14" s="6"/>
      <c r="T14" s="130"/>
      <c r="U14" s="130"/>
      <c r="V14" s="130"/>
      <c r="W14" s="130"/>
      <c r="X14" s="130"/>
      <c r="Y14" s="130"/>
      <c r="Z14" s="130"/>
      <c r="AA14" s="6"/>
      <c r="AB14" s="3"/>
    </row>
    <row r="15" spans="3:28" ht="15.75" x14ac:dyDescent="0.25">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t="s">
        <v>6</v>
      </c>
      <c r="P17" s="84"/>
      <c r="Q17" s="6" t="s">
        <v>4</v>
      </c>
      <c r="R17" s="9"/>
      <c r="S17" s="6"/>
      <c r="T17" s="130"/>
      <c r="U17" s="130"/>
      <c r="V17" s="130"/>
      <c r="W17" s="130"/>
      <c r="X17" s="130"/>
      <c r="Y17" s="130"/>
      <c r="Z17" s="130"/>
      <c r="AA17" s="6"/>
      <c r="AB17" s="3"/>
    </row>
    <row r="18" spans="3:28" ht="15.75" x14ac:dyDescent="0.25">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13" t="str">
        <f>IF((ISBLANK('Synergy Project'!$G$28))," ",'Synergy Project'!$G$28)</f>
        <v>Shawn Penning</v>
      </c>
      <c r="H28" s="113"/>
      <c r="I28" s="113"/>
      <c r="J28" s="113"/>
      <c r="K28" s="113"/>
      <c r="L28" s="113"/>
      <c r="M28" s="102"/>
      <c r="N28" s="102"/>
      <c r="O28" s="102"/>
      <c r="P28" s="19" t="s">
        <v>0</v>
      </c>
      <c r="Q28" s="19"/>
      <c r="R28" s="19"/>
      <c r="S28" s="126">
        <f>IF((ISBLANK('Synergy Project'!$S$28))," ",'Synergy Project'!$S$28)</f>
        <v>42865</v>
      </c>
      <c r="T28" s="126"/>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13" t="str">
        <f>IF((ISBLANK('Synergy Project'!$H$30))," ",'Synergy Project'!$H$30)</f>
        <v>Krishna Anne</v>
      </c>
      <c r="I30" s="113"/>
      <c r="J30" s="113"/>
      <c r="K30" s="113"/>
      <c r="L30" s="113"/>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13" t="str">
        <f>IF((ISBLANK('Synergy Project'!$H$32))," ",'Synergy Project'!$H$32)</f>
        <v>Brendon Binder</v>
      </c>
      <c r="I32" s="113"/>
      <c r="J32" s="113"/>
      <c r="K32" s="113"/>
      <c r="L32" s="113"/>
      <c r="M32" s="25"/>
      <c r="N32" s="113" t="str">
        <f>IF((ISBLANK('Synergy Project'!$N$32))," ",'Synergy Project'!$N$32)</f>
        <v>Matt Leser</v>
      </c>
      <c r="O32" s="113"/>
      <c r="P32" s="113"/>
      <c r="Q32" s="113"/>
      <c r="R32" s="113"/>
      <c r="S32" s="25"/>
      <c r="T32" s="113" t="str">
        <f>IF((ISBLANK('Synergy Project'!$T$32))," ",'Synergy Project'!$T$32)</f>
        <v>Brionna Spencer</v>
      </c>
      <c r="U32" s="113"/>
      <c r="V32" s="113"/>
      <c r="W32" s="113"/>
      <c r="X32" s="113"/>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13" t="str">
        <f>IF((ISBLANK('Synergy Project'!$H$34))," ",'Synergy Project'!$H$34)</f>
        <v xml:space="preserve"> </v>
      </c>
      <c r="I34" s="113"/>
      <c r="J34" s="113"/>
      <c r="K34" s="113"/>
      <c r="L34" s="113"/>
      <c r="M34" s="25"/>
      <c r="N34" s="113" t="str">
        <f>IF((ISBLANK('Synergy Project'!$N$34))," ",'Synergy Project'!$N$34)</f>
        <v xml:space="preserve"> </v>
      </c>
      <c r="O34" s="113"/>
      <c r="P34" s="113"/>
      <c r="Q34" s="113"/>
      <c r="R34" s="113"/>
      <c r="S34" s="25"/>
      <c r="T34" s="113" t="str">
        <f>IF((ISBLANK('Synergy Project'!$T$34))," ",'Synergy Project'!$T$34)</f>
        <v xml:space="preserve"> </v>
      </c>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6"/>
      <c r="T45" s="126"/>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4"/>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75" x14ac:dyDescent="0.25">
      <c r="C19" s="104"/>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4"/>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4"/>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4"/>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4"/>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6"/>
      <c r="T41" s="126"/>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6"/>
      <c r="T28" s="126"/>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6"/>
      <c r="T28" s="126"/>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2017-05-15T18:43:52Z</dcterms:modified>
</cp:coreProperties>
</file>