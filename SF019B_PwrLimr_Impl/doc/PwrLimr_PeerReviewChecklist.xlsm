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SF019B_PwrLimr_Impl\doc\"/>
    </mc:Choice>
  </mc:AlternateContent>
  <bookViews>
    <workbookView xWindow="204" yWindow="36" windowWidth="15600" windowHeight="5712" firstSheet="1" activeTab="1"/>
  </bookViews>
  <sheets>
    <sheet name="Summary Sheet (Template)" sheetId="29" state="hidden" r:id="rId1"/>
    <sheet name="Summary Sheet" sheetId="868" r:id="rId2"/>
    <sheet name="StdDef" sheetId="874" state="hidden" r:id="rId3"/>
    <sheet name="Davinci Files" sheetId="873" state="hidden" r:id="rId4"/>
    <sheet name="Source Code" sheetId="872" state="hidden" r:id="rId5"/>
    <sheet name="PolySpace" sheetId="870" state="hidden" r:id="rId6"/>
    <sheet name="MDD" sheetId="871" state="hidden" r:id="rId7"/>
    <sheet name="Integration Manual" sheetId="869" state="hidden" r:id="rId8"/>
    <sheet name="Synergy Project" sheetId="87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3">'Davinci Files'!$C$2:$AA$72</definedName>
    <definedName name="_xlnm.Print_Area" localSheetId="10">'Davinci Files (Template)'!$C$2:$AA$72</definedName>
    <definedName name="_xlnm.Print_Area" localSheetId="7">'Integration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5">PolySpace!$C$2:$AA$37</definedName>
    <definedName name="_xlnm.Print_Area" localSheetId="12">'PolySpace (Template)'!$C$2:$AA$38</definedName>
    <definedName name="_xlnm.Print_Area" localSheetId="4">'Source Code'!$C$2:$AA$117</definedName>
    <definedName name="_xlnm.Print_Area" localSheetId="9">'Source Code (Template)'!$C$2:$AA$117</definedName>
    <definedName name="_xlnm.Print_Area" localSheetId="1">'Summary Sheet'!$C$1:$AA$32</definedName>
    <definedName name="_xlnm.Print_Area" localSheetId="0">'Summary Sheet (Template)'!$C$1:$AA$31</definedName>
    <definedName name="PrintArea" localSheetId="1">'Summary Sheet'!$C$1:$AA$32</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S28" i="869" l="1"/>
  <c r="S40" i="870"/>
  <c r="S45" i="871"/>
  <c r="S125" i="872"/>
  <c r="H30" i="875"/>
  <c r="H30" i="869"/>
  <c r="H42" i="870"/>
  <c r="H47" i="871"/>
  <c r="H127" i="872"/>
  <c r="H32" i="875"/>
  <c r="T34" i="875"/>
  <c r="N34" i="875"/>
  <c r="H34" i="875"/>
  <c r="T32" i="875"/>
  <c r="N32" i="875"/>
  <c r="T34" i="869"/>
  <c r="N34" i="869"/>
  <c r="H34" i="869"/>
  <c r="T32" i="869"/>
  <c r="N32" i="869"/>
  <c r="H32" i="869"/>
  <c r="T46" i="870"/>
  <c r="N46" i="870"/>
  <c r="H46" i="870"/>
  <c r="T44" i="870"/>
  <c r="N44" i="870"/>
  <c r="N49" i="871"/>
  <c r="H49" i="871"/>
  <c r="T51" i="871"/>
  <c r="N51" i="871"/>
  <c r="H51" i="871"/>
  <c r="T49" i="871"/>
  <c r="T131" i="872"/>
  <c r="N131" i="872"/>
  <c r="H131" i="872"/>
  <c r="T129" i="872"/>
  <c r="N129" i="872"/>
  <c r="H129" i="872"/>
  <c r="H127" i="871" l="1"/>
  <c r="G28" i="869"/>
  <c r="G40" i="870"/>
  <c r="G45" i="871"/>
  <c r="G125" i="872"/>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<sst xmlns="http://schemas.openxmlformats.org/spreadsheetml/2006/main" count="904" uniqueCount="214">
  <si>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</si>
  <si>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</si>
  <si>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</si>
  <si>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</si>
  <si>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</si>
  <si>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</si>
  <si>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</si>
  <si>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</si>
  <si>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</si>
  <si>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</si>
  <si>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</si>
  <si>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</si>
  <si>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</si>
  <si>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</si>
  <si>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</si>
  <si>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</si>
  <si>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</si>
  <si>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</si>
  <si>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</si>
  <si>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</si>
  <si>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</si>
  <si>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</si>
  <si>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</si>
  <si>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</si>
  <si>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</si>
  <si>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</si>
  <si>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</si>
  <si>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</si>
  <si>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</si>
  <si>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</si>
  <si>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</si>
  <si>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</si>
  <si>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</si>
  <si>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</si>
  <si>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</si>
  <si>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</si>
  <si>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</si>
  <si>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</si>
  <si>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</si>
  <si>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</si>
  <si>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</si>
  <si>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</si>
  <si>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</si>
  <si>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</si>
  <si>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</si>
  <si>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</si>
  <si>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</si>
  <si>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</si>
  <si>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</si>
  <si>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</si>
  <si>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</si>
  <si>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</si>
  <si>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</si>
  <si>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</si>
  <si>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</si>
  <si>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</si>
  <si>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</si>
  <si>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</si>
  <si>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</si>
  <si>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</si>
  <si>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</si>
  <si>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</si>
  <si>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</si>
  <si>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</si>
  <si>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</si>
  <si>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</si>
  <si>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</si>
  <si>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</si>
  <si>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</si>
  <si>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</si>
  <si>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</si>
  <si>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</si>
  <si>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</si>
  <si>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</si>
  <si>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</si>
  <si>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</si>
  <si>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</si>
  <si>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</si>
  <si>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</si>
  <si>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</si>
  <si>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</si>
  <si>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</si>
  <si>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</si>
  <si>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</si>
  <si>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</si>
  <si>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</si>
  <si>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</si>
  <si>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</si>
  <si>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</si>
  <si>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</si>
  <si>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</si>
  <si>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</si>
  <si>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</si>
  <si>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</si>
  <si>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</si>
  <si>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</si>
  <si>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</si>
  <si>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</si>
  <si>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</si>
  <si>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</si>
  <si>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</si>
  <si>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</si>
  <si>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</si>
  <si>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</si>
  <si>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</si>
  <si>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</si>
  <si>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</si>
  <si>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</si>
  <si>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</si>
  <si>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</si>
  <si>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</si>
  <si>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</si>
  <si>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</si>
  <si>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</si>
  <si>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</si>
  <si>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</si>
  <si>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</si>
  <si>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</si>
  <si>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</si>
  <si>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</si>
  <si>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</si>
  <si>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</si>
  <si>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</si>
  <si>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</si>
  <si>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</si>
  <si>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</si>
  <si>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</si>
  <si>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</si>
  <si>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</si>
  <si>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</si>
  <si>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</si>
  <si>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</si>
  <si>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</si>
  <si>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</si>
  <si>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</si>
  <si>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</si>
  <si>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</si>
  <si>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</si>
  <si>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</si>
  <si>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</si>
  <si>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</si>
  <si>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</si>
  <si>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</si>
  <si>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</si>
  <si>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</si>
  <si>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</si>
  <si>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</si>
  <si>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</si>
  <si>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</si>
  <si>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</si>
  <si>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</si>
  <si>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</si>
  <si>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</si>
  <si>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</si>
  <si>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</si>
  <si>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</si>
  <si>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</si>
  <si>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</si>
  <si>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</si>
  <si>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</si>
  <si>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</si>
  <si>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</si>
  <si>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</si>
  <si>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</si>
  <si>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</si>
  <si>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</si>
  <si>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</si>
  <si>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</si>
  <si>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</si>
  <si>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</si>
  <si>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</si>
  <si>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</si>
  <si>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</si>
  <si>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</si>
  <si>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</si>
  <si>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</si>
  <si>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</si>
  <si>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</si>
  <si>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</si>
  <si>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</si>
  <si>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</si>
  <si>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</si>
  <si>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</si>
  <si>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</si>
  <si>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</si>
  <si>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</si>
  <si>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</si>
  <si>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</si>
  <si>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</si>
  <si>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</si>
  <si>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</si>
  <si>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</si>
  <si>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</si>
  <si>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</si>
  <si>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</si>
  <si>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</si>
  <si>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</si>
  <si>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</si>
  <si>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</si>
  <si>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</si>
  <si>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</si>
  <si>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</si>
  <si>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</si>
  <si>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</si>
  <si>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Brendon Binder</t>
  </si>
  <si>
    <t>Shawn Penning</t>
  </si>
  <si>
    <t>SF019B_PwrLimr_Impl</t>
  </si>
  <si>
    <t>Version: 2.1</t>
  </si>
  <si>
    <t>Matt Leser</t>
  </si>
  <si>
    <t>SF019B_PwrLimr_Impl_4.1.0</t>
  </si>
  <si>
    <t>EA4#21038</t>
  </si>
  <si>
    <t xml:space="preserve">The baseline is made from a PSR code for the anomaly fix for EA4#17673. Due to timing constraints and </t>
  </si>
  <si>
    <t>the changes being small, its being baselined without the formal review process - Approved deviation by Lonnie Newton</t>
  </si>
  <si>
    <t>The design sub project is also deleted to not have a mismatch with the model as design is not yet ready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</si>
</sst>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7" fillId="0" borderId="0" xfId="0" applyFont="1" applyBorder="1"/>
    <xf numFmtId="0" fontId="0" fillId="7" borderId="0" xfId="0" applyFill="1" applyAlignment="1"/>
    <xf numFmtId="0" fontId="4" fillId="0" borderId="0" xfId="0" applyFont="1" applyFill="1" applyBorder="1" applyAlignment="1">
      <alignment horizontal="center" wrapText="1"/>
    </xf>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3" xfId="0" applyFont="1" applyFill="1" applyBorder="1" applyAlignment="1">
      <alignment horizontal="center"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8"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129540</xdr:colOff>
          <xdr:row>9</xdr:row>
          <xdr:rowOff>152400</xdr:rowOff>
        </xdr:from>
        <xdr:to>
          <xdr:col>11</xdr:col>
          <xdr:colOff>114300</xdr:colOff>
          <xdr:row>11</xdr:row>
          <xdr:rowOff>53340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15240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15240</xdr:rowOff>
        </xdr:from>
        <xdr:to>
          <xdr:col>1</xdr:col>
          <xdr:colOff>144780</xdr:colOff>
          <xdr:row>4</xdr:row>
          <xdr:rowOff>129540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129540</xdr:colOff>
          <xdr:row>9</xdr:row>
          <xdr:rowOff>152400</xdr:rowOff>
        </xdr:from>
        <xdr:to>
          <xdr:col>11</xdr:col>
          <xdr:colOff>114300</xdr:colOff>
          <xdr:row>11</xdr:row>
          <xdr:rowOff>53340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15240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15240</xdr:rowOff>
        </xdr:from>
        <xdr:to>
          <xdr:col>1</xdr:col>
          <xdr:colOff>144780</xdr:colOff>
          <xdr:row>4</xdr:row>
          <xdr:rowOff>129540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7773437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8" thickBot="1" x14ac:dyDescent="0.3">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5">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129540</xdr:colOff>
                    <xdr:row>9</xdr:row>
                    <xdr:rowOff>152400</xdr:rowOff>
                  </from>
                  <to>
                    <xdr:col>11</xdr:col>
                    <xdr:colOff>114300</xdr:colOff>
                    <xdr:row>11</xdr:row>
                    <xdr:rowOff>53340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15240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15240</xdr:rowOff>
                  </from>
                  <to>
                    <xdr:col>1</xdr:col>
                    <xdr:colOff>144780</xdr:colOff>
                    <xdr:row>4</xdr:row>
                    <xdr:rowOff>129540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2"/>
  <sheetViews>
    <sheetView tabSelected="1" zoomScaleNormal="100" workbookViewId="0">
      <selection activeCell="AC24" sqref="AC24"/>
    </sheetView>
  </sheetViews>
  <sheetFormatPr defaultRowHeight="13.2" x14ac:dyDescent="0.25"/>
  <cols>
    <col min="3" max="27" width="4.77734375" customWidth="1"/>
  </cols>
  <sheetData>
    <row r="1" spans="3:27" x14ac:dyDescent="0.25">
      <c r="X1" s="108" t="s">
        <v>156</v>
      </c>
      <c r="Y1" s="109"/>
      <c r="Z1" s="110">
        <v>42163</v>
      </c>
      <c r="AA1" s="110"/>
    </row>
    <row r="2" spans="3:27" ht="23.4" thickBot="1" x14ac:dyDescent="0.45">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8" thickTop="1" x14ac:dyDescent="0.25">
      <c r="Q3" s="6"/>
    </row>
    <row r="4" spans="3:27" ht="13.8" thickBot="1" x14ac:dyDescent="0.3">
      <c r="C4" s="6" t="s">
        <v>122</v>
      </c>
      <c r="D4" s="9"/>
      <c r="E4" s="9"/>
      <c r="F4" s="36"/>
      <c r="G4" s="128" t="s">
        <v>206</v>
      </c>
      <c r="H4" s="112"/>
      <c r="I4" s="112"/>
      <c r="J4" s="112"/>
      <c r="K4" s="112"/>
      <c r="L4" s="112"/>
      <c r="M4" s="112"/>
      <c r="N4" s="112"/>
      <c r="O4" s="112"/>
      <c r="P4" s="25"/>
      <c r="Q4" s="6" t="s">
        <v>123</v>
      </c>
      <c r="R4" s="25"/>
      <c r="S4" s="25"/>
      <c r="T4" s="25"/>
      <c r="U4" s="113" t="s">
        <v>209</v>
      </c>
      <c r="V4" s="113"/>
      <c r="W4" s="113"/>
      <c r="X4" s="113"/>
      <c r="Y4" s="113"/>
      <c r="Z4" s="113"/>
      <c r="AA4" s="113"/>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3" t="s">
        <v>204</v>
      </c>
      <c r="H6" s="113"/>
      <c r="I6" s="113"/>
      <c r="J6" s="113"/>
      <c r="K6" s="113"/>
      <c r="L6" s="113"/>
      <c r="M6" s="113"/>
      <c r="N6" s="113"/>
      <c r="O6" s="113"/>
      <c r="Q6" s="6" t="s">
        <v>125</v>
      </c>
      <c r="R6" s="9"/>
      <c r="S6" s="9"/>
      <c r="T6" s="9"/>
      <c r="U6" s="113" t="s">
        <v>210</v>
      </c>
      <c r="V6" s="114"/>
      <c r="W6" s="114"/>
      <c r="X6" s="114"/>
      <c r="Y6" s="114"/>
      <c r="Z6" s="114"/>
      <c r="AA6" s="114"/>
    </row>
    <row r="8" spans="3:27" x14ac:dyDescent="0.25">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5">
      <c r="C17" s="12"/>
      <c r="J17" s="9"/>
      <c r="K17" s="6"/>
      <c r="L17" s="9"/>
      <c r="M17" s="121"/>
      <c r="N17" s="121"/>
      <c r="O17" s="121"/>
      <c r="P17" s="121"/>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6" t="s">
        <v>211</v>
      </c>
      <c r="H26" s="125"/>
      <c r="I26" s="125"/>
      <c r="J26" s="125"/>
      <c r="K26" s="125"/>
      <c r="L26" s="125"/>
      <c r="M26" s="125"/>
      <c r="N26" s="125"/>
      <c r="O26" s="125"/>
      <c r="P26" s="125"/>
      <c r="Q26" s="125"/>
      <c r="R26" s="125"/>
      <c r="S26" s="125"/>
      <c r="T26" s="125"/>
      <c r="U26" s="125"/>
      <c r="V26" s="125"/>
      <c r="W26" s="125"/>
      <c r="X26" s="125"/>
      <c r="Y26" s="125"/>
      <c r="Z26" s="125"/>
      <c r="AA26" s="13"/>
    </row>
    <row r="27" spans="3:27" s="105" customFormat="1" ht="13.8" thickBot="1" x14ac:dyDescent="0.3">
      <c r="C27" s="12"/>
      <c r="D27" s="104"/>
      <c r="E27" s="9"/>
      <c r="F27" s="9"/>
      <c r="G27" s="127" t="s">
        <v>212</v>
      </c>
      <c r="H27" s="107"/>
      <c r="I27" s="107"/>
      <c r="J27" s="107"/>
      <c r="K27" s="107"/>
      <c r="L27" s="107"/>
      <c r="M27" s="107"/>
      <c r="N27" s="107"/>
      <c r="O27" s="107"/>
      <c r="P27" s="107"/>
      <c r="Q27" s="107"/>
      <c r="R27" s="107"/>
      <c r="S27" s="107"/>
      <c r="T27" s="107"/>
      <c r="U27" s="107"/>
      <c r="V27" s="107"/>
      <c r="W27" s="107"/>
      <c r="X27" s="107"/>
      <c r="Y27" s="107"/>
      <c r="Z27" s="107"/>
      <c r="AA27" s="13"/>
    </row>
    <row r="28" spans="3:27" ht="13.8" thickBot="1" x14ac:dyDescent="0.3">
      <c r="C28" s="12"/>
      <c r="D28" s="84"/>
      <c r="E28" s="9"/>
      <c r="F28" s="9"/>
      <c r="G28" s="127" t="s">
        <v>213</v>
      </c>
      <c r="H28" s="107"/>
      <c r="I28" s="107"/>
      <c r="J28" s="107"/>
      <c r="K28" s="107"/>
      <c r="L28" s="107"/>
      <c r="M28" s="107"/>
      <c r="N28" s="107"/>
      <c r="O28" s="107"/>
      <c r="P28" s="107"/>
      <c r="Q28" s="107"/>
      <c r="R28" s="107"/>
      <c r="S28" s="107"/>
      <c r="T28" s="107"/>
      <c r="U28" s="107"/>
      <c r="V28" s="107"/>
      <c r="W28" s="107"/>
      <c r="X28" s="107"/>
      <c r="Y28" s="107"/>
      <c r="Z28" s="107"/>
      <c r="AA28" s="13"/>
    </row>
    <row r="29" spans="3:27" x14ac:dyDescent="0.25">
      <c r="C29" s="12"/>
      <c r="H29" s="9"/>
      <c r="I29" s="9"/>
      <c r="J29" s="9"/>
      <c r="K29" s="9"/>
      <c r="L29" s="9"/>
      <c r="M29" s="9"/>
      <c r="N29" s="9"/>
      <c r="O29" s="9"/>
      <c r="P29" s="9"/>
      <c r="Q29" s="9"/>
      <c r="R29" s="9"/>
      <c r="S29" s="9"/>
      <c r="T29" s="9"/>
      <c r="U29" s="9"/>
      <c r="V29" s="9"/>
      <c r="W29" s="9"/>
      <c r="X29" s="9"/>
      <c r="Y29" s="9"/>
      <c r="Z29" s="9"/>
      <c r="AA29" s="13"/>
    </row>
    <row r="30" spans="3:27" x14ac:dyDescent="0.25">
      <c r="C30" s="14"/>
      <c r="D30" s="15"/>
      <c r="E30" s="15"/>
      <c r="F30" s="15"/>
      <c r="G30" s="15"/>
      <c r="H30" s="15"/>
      <c r="I30" s="15"/>
      <c r="J30" s="15"/>
      <c r="K30" s="15"/>
      <c r="L30" s="15"/>
      <c r="M30" s="15"/>
      <c r="N30" s="15"/>
      <c r="O30" s="15"/>
      <c r="P30" s="15"/>
      <c r="Q30" s="15"/>
      <c r="R30" s="15"/>
      <c r="S30" s="15"/>
      <c r="T30" s="15"/>
      <c r="U30" s="15"/>
      <c r="V30" s="15"/>
      <c r="W30" s="15"/>
      <c r="X30" s="15"/>
      <c r="Y30" s="15"/>
      <c r="Z30" s="15"/>
      <c r="AA30" s="16"/>
    </row>
    <row r="32" spans="3:27" ht="12.75" customHeight="1" x14ac:dyDescent="0.25">
      <c r="C32" s="106" t="s">
        <v>126</v>
      </c>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5">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5">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5">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5">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5">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5">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5">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5">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5">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row r="42" spans="3:27" x14ac:dyDescent="0.25">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row>
  </sheetData>
  <dataConsolidate/>
  <mergeCells count="15">
    <mergeCell ref="G6:O6"/>
    <mergeCell ref="U6:AA6"/>
    <mergeCell ref="X1:Y1"/>
    <mergeCell ref="Z1:AA1"/>
    <mergeCell ref="C2:AA2"/>
    <mergeCell ref="G4:O4"/>
    <mergeCell ref="U4:AA4"/>
    <mergeCell ref="C32:AA42"/>
    <mergeCell ref="C8:AA8"/>
    <mergeCell ref="C16:AA16"/>
    <mergeCell ref="M17:P17"/>
    <mergeCell ref="D19:Z19"/>
    <mergeCell ref="G26:Z26"/>
    <mergeCell ref="G28:Z28"/>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129540</xdr:colOff>
                    <xdr:row>9</xdr:row>
                    <xdr:rowOff>152400</xdr:rowOff>
                  </from>
                  <to>
                    <xdr:col>11</xdr:col>
                    <xdr:colOff>114300</xdr:colOff>
                    <xdr:row>11</xdr:row>
                    <xdr:rowOff>53340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15240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15240</xdr:rowOff>
                  </from>
                  <to>
                    <xdr:col>1</xdr:col>
                    <xdr:colOff>144780</xdr:colOff>
                    <xdr:row>4</xdr:row>
                    <xdr:rowOff>129540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7773437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0"/>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5">
      <c r="C10" s="130"/>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5">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0"/>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5">
      <c r="C13" s="130"/>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5">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0"/>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5">
      <c r="C16" s="130"/>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5">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0"/>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5">
      <c r="C19" s="130"/>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5">
      <c r="C20" s="130"/>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84"/>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9"/>
      <c r="T29" s="129"/>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U78" sqref="U78"/>
    </sheetView>
  </sheetViews>
  <sheetFormatPr defaultRowHeight="13.2" x14ac:dyDescent="0.25"/>
  <cols>
    <col min="1" max="1" width="9.21875" customWidth="1"/>
    <col min="3" max="27" width="4.7773437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9"/>
      <c r="D6" s="22" t="s">
        <v>157</v>
      </c>
      <c r="E6" s="22"/>
      <c r="F6" s="23"/>
      <c r="G6" s="22"/>
      <c r="H6" s="22"/>
      <c r="I6" s="24"/>
      <c r="J6" s="24"/>
      <c r="K6" s="24"/>
      <c r="L6" s="22"/>
      <c r="M6" s="22"/>
      <c r="N6" s="7"/>
      <c r="O6" s="46"/>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45" customHeight="1" x14ac:dyDescent="0.3">
      <c r="C11" s="139"/>
      <c r="D11" s="22"/>
      <c r="E11" s="22"/>
      <c r="F11" s="23"/>
      <c r="G11" s="22"/>
      <c r="H11" s="22"/>
      <c r="I11" s="24"/>
      <c r="J11" s="24"/>
      <c r="K11" s="24"/>
      <c r="L11" s="22"/>
      <c r="M11" s="22"/>
      <c r="N11" s="7"/>
      <c r="O11" s="21"/>
      <c r="P11" s="22"/>
      <c r="Q11" s="102"/>
      <c r="R11" s="102"/>
      <c r="S11" s="102"/>
      <c r="T11" s="102"/>
      <c r="U11" s="102"/>
      <c r="V11" s="102"/>
      <c r="W11" s="102"/>
      <c r="X11" s="102"/>
      <c r="Y11" s="102"/>
      <c r="Z11" s="102"/>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22"/>
      <c r="O13" s="46"/>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c r="O16" s="46"/>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c r="O22" s="46"/>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c r="O25" s="46"/>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c r="O28" s="46"/>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9"/>
      <c r="D61" s="84" t="s">
        <v>119</v>
      </c>
      <c r="E61" s="84"/>
      <c r="G61" s="84"/>
      <c r="H61" s="84"/>
      <c r="I61" s="83"/>
      <c r="J61" s="83"/>
      <c r="K61" s="83"/>
      <c r="L61" s="84"/>
      <c r="M61" s="84"/>
      <c r="N61" s="7" t="s">
        <v>6</v>
      </c>
      <c r="O61" s="42"/>
      <c r="P61" s="84"/>
      <c r="Q61" s="6" t="s">
        <v>4</v>
      </c>
      <c r="R61" s="9"/>
      <c r="S61" s="6"/>
      <c r="T61" s="6"/>
      <c r="U61" s="85"/>
      <c r="V61" s="85"/>
      <c r="W61" s="85"/>
      <c r="X61" s="6"/>
      <c r="Y61" s="6"/>
      <c r="Z61" s="6"/>
      <c r="AA61" s="6"/>
      <c r="AB61" s="3"/>
    </row>
    <row r="62" spans="3:28" ht="15.6" x14ac:dyDescent="0.3">
      <c r="C62" s="139"/>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6" x14ac:dyDescent="0.3">
      <c r="C63" s="139"/>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9"/>
      <c r="D64" s="84" t="s">
        <v>176</v>
      </c>
      <c r="E64" s="84"/>
      <c r="G64" s="84"/>
      <c r="H64" s="84"/>
      <c r="I64" s="83"/>
      <c r="J64" s="83"/>
      <c r="K64" s="83"/>
      <c r="L64" s="84"/>
      <c r="M64" s="84"/>
      <c r="N64" s="7" t="s">
        <v>6</v>
      </c>
      <c r="O64" s="42"/>
      <c r="P64" s="84"/>
      <c r="Q64" s="6" t="s">
        <v>4</v>
      </c>
      <c r="R64" s="9"/>
      <c r="S64" s="6"/>
      <c r="T64" s="6"/>
      <c r="U64" s="85"/>
      <c r="V64" s="85"/>
      <c r="W64" s="85"/>
      <c r="X64" s="6"/>
      <c r="Y64" s="6"/>
      <c r="Z64" s="6"/>
      <c r="AA64" s="6"/>
      <c r="AB64" s="3"/>
    </row>
    <row r="65" spans="3:28" ht="15.6" x14ac:dyDescent="0.3">
      <c r="C65" s="139"/>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8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t="str">
        <f>IF('Synergy Project'!G28:L28="","",'Synergy Project'!G28:L28)</f>
        <v>Brendon Binder</v>
      </c>
      <c r="H76" s="114"/>
      <c r="I76" s="114"/>
      <c r="J76" s="114"/>
      <c r="K76" s="114"/>
      <c r="L76" s="114"/>
      <c r="N76" s="19" t="s">
        <v>0</v>
      </c>
      <c r="Q76" s="129">
        <v>43027</v>
      </c>
      <c r="R76" s="129"/>
      <c r="T76" s="84" t="s">
        <v>102</v>
      </c>
      <c r="X76" s="129"/>
      <c r="Y76" s="129"/>
      <c r="AA76" s="13"/>
    </row>
    <row r="77" spans="3:28" x14ac:dyDescent="0.25">
      <c r="C77" s="12"/>
      <c r="AA77" s="13"/>
    </row>
    <row r="78" spans="3:28" ht="13.8" thickBot="1" x14ac:dyDescent="0.3">
      <c r="C78" s="12"/>
      <c r="D78" s="6" t="s">
        <v>41</v>
      </c>
      <c r="E78" s="9"/>
      <c r="F78" s="25"/>
      <c r="G78" s="25"/>
      <c r="H78" s="113" t="s">
        <v>205</v>
      </c>
      <c r="I78" s="114"/>
      <c r="J78" s="114"/>
      <c r="K78" s="114"/>
      <c r="L78" s="114"/>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13"/>
      <c r="I80" s="114"/>
      <c r="J80" s="114"/>
      <c r="K80" s="114"/>
      <c r="L80" s="114"/>
      <c r="M80" s="25"/>
      <c r="N80" s="113"/>
      <c r="O80" s="114"/>
      <c r="P80" s="114"/>
      <c r="Q80" s="114"/>
      <c r="R80" s="114"/>
      <c r="S80" s="25"/>
      <c r="T80" s="113"/>
      <c r="U80" s="114"/>
      <c r="V80" s="114"/>
      <c r="W80" s="114"/>
      <c r="X80" s="114"/>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3"/>
      <c r="I82" s="114"/>
      <c r="J82" s="114"/>
      <c r="K82" s="114"/>
      <c r="L82" s="114"/>
      <c r="M82" s="25"/>
      <c r="N82" s="113"/>
      <c r="O82" s="114"/>
      <c r="P82" s="114"/>
      <c r="Q82" s="114"/>
      <c r="R82" s="114"/>
      <c r="S82" s="25"/>
      <c r="T82" s="113"/>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T13:Z13"/>
    <mergeCell ref="Q14:Z14"/>
    <mergeCell ref="Q10:Z10"/>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4" zoomScaleNormal="100" workbookViewId="0">
      <selection activeCell="U127" sqref="U127"/>
    </sheetView>
  </sheetViews>
  <sheetFormatPr defaultRowHeight="13.2" x14ac:dyDescent="0.25"/>
  <cols>
    <col min="1" max="1" width="9.21875" customWidth="1"/>
    <col min="3" max="27" width="4.7773437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42"/>
      <c r="H5" s="142"/>
      <c r="I5" s="142"/>
      <c r="J5" s="142"/>
      <c r="K5" s="142"/>
      <c r="L5" s="142"/>
      <c r="M5" s="142"/>
      <c r="N5" s="142"/>
      <c r="O5" s="142"/>
      <c r="P5" s="142"/>
      <c r="Q5" s="142"/>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1"/>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41"/>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1"/>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41"/>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1"/>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41"/>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1"/>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41"/>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1"/>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41"/>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3">
      <c r="C35" s="141"/>
      <c r="D35" s="84" t="s">
        <v>95</v>
      </c>
      <c r="E35" s="84"/>
      <c r="G35" s="84"/>
      <c r="H35" s="84"/>
      <c r="I35" s="83"/>
      <c r="J35" s="83"/>
      <c r="K35" s="83"/>
      <c r="L35" s="84"/>
      <c r="M35" s="84"/>
      <c r="N35" s="84" t="s">
        <v>6</v>
      </c>
      <c r="O35" s="42"/>
      <c r="P35" s="84"/>
      <c r="Q35" s="6" t="s">
        <v>4</v>
      </c>
      <c r="R35" s="9"/>
      <c r="S35" s="6"/>
      <c r="T35" s="131"/>
      <c r="U35" s="131"/>
      <c r="V35" s="131"/>
      <c r="W35" s="131"/>
      <c r="X35" s="131"/>
      <c r="Y35" s="131"/>
      <c r="Z35" s="131"/>
      <c r="AA35" s="6"/>
      <c r="AB35" s="3"/>
    </row>
    <row r="36" spans="3:28" ht="15.6" x14ac:dyDescent="0.3">
      <c r="C36" s="141"/>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c r="P38" s="84"/>
      <c r="Q38" s="6" t="s">
        <v>4</v>
      </c>
      <c r="R38" s="9"/>
      <c r="S38" s="6"/>
      <c r="T38" s="131"/>
      <c r="U38" s="131"/>
      <c r="V38" s="131"/>
      <c r="W38" s="131"/>
      <c r="X38" s="131"/>
      <c r="Y38" s="131"/>
      <c r="Z38" s="131"/>
      <c r="AA38" s="6"/>
      <c r="AB38" s="3"/>
    </row>
    <row r="39" spans="3:28" ht="15.6" x14ac:dyDescent="0.3">
      <c r="C39" s="141"/>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c r="P41" s="84"/>
      <c r="Q41" s="6" t="s">
        <v>4</v>
      </c>
      <c r="R41" s="9"/>
      <c r="S41" s="6"/>
      <c r="T41" s="131"/>
      <c r="U41" s="131"/>
      <c r="V41" s="131"/>
      <c r="W41" s="131"/>
      <c r="X41" s="131"/>
      <c r="Y41" s="131"/>
      <c r="Z41" s="131"/>
      <c r="AA41" s="6"/>
      <c r="AB41" s="3"/>
    </row>
    <row r="42" spans="3:28" ht="15.6" x14ac:dyDescent="0.3">
      <c r="C42" s="141"/>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41"/>
      <c r="E45" s="84"/>
      <c r="G45" s="84"/>
      <c r="H45" s="84"/>
      <c r="I45" s="83"/>
      <c r="J45" s="83"/>
      <c r="K45" s="83"/>
      <c r="L45" s="84"/>
      <c r="M45" s="84"/>
      <c r="N45" s="84"/>
      <c r="O45" s="6"/>
      <c r="P45" s="84"/>
      <c r="Q45" s="132"/>
      <c r="R45" s="132"/>
      <c r="S45" s="132"/>
      <c r="T45" s="132"/>
      <c r="U45" s="132"/>
      <c r="V45" s="132"/>
      <c r="W45" s="132"/>
      <c r="X45" s="132"/>
      <c r="Y45" s="132"/>
      <c r="Z45" s="132"/>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6" x14ac:dyDescent="0.3">
      <c r="C49" s="141"/>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41"/>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6" x14ac:dyDescent="0.3">
      <c r="C51" s="14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1"/>
      <c r="D52" t="s">
        <v>116</v>
      </c>
      <c r="Q52" s="132" t="s">
        <v>207</v>
      </c>
      <c r="R52" s="132"/>
      <c r="S52" s="132"/>
      <c r="T52" s="132"/>
      <c r="U52" s="132"/>
      <c r="V52" s="132"/>
      <c r="W52" s="132"/>
      <c r="X52" s="132"/>
      <c r="Y52" s="132"/>
      <c r="Z52" s="132"/>
      <c r="AA52" s="6"/>
      <c r="AB52" s="3"/>
    </row>
    <row r="53" spans="3:28" ht="15.6" x14ac:dyDescent="0.3">
      <c r="C53" s="14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1"/>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41"/>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6" x14ac:dyDescent="0.3">
      <c r="C56" s="14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41"/>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6" x14ac:dyDescent="0.3">
      <c r="C62" s="14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1"/>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41"/>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6" x14ac:dyDescent="0.3">
      <c r="C65" s="14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1"/>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41"/>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6" x14ac:dyDescent="0.3">
      <c r="C68" s="14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1"/>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41"/>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6" x14ac:dyDescent="0.3">
      <c r="C72" s="14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1"/>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41"/>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6" x14ac:dyDescent="0.3">
      <c r="C75" s="14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1"/>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41"/>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6" x14ac:dyDescent="0.3">
      <c r="C78" s="14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1"/>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41"/>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6" x14ac:dyDescent="0.3">
      <c r="C81" s="14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1"/>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41"/>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6" x14ac:dyDescent="0.3">
      <c r="C84" s="14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1"/>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41"/>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6" x14ac:dyDescent="0.3">
      <c r="C87" s="14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1"/>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41"/>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6" x14ac:dyDescent="0.3">
      <c r="C90" s="14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41"/>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6" x14ac:dyDescent="0.3">
      <c r="C95" s="14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1"/>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41"/>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6" x14ac:dyDescent="0.3">
      <c r="C98" s="14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1"/>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41"/>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6" x14ac:dyDescent="0.3">
      <c r="C101" s="14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1"/>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41"/>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6" x14ac:dyDescent="0.3">
      <c r="C104" s="14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1"/>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41"/>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6" x14ac:dyDescent="0.3">
      <c r="C107" s="14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1"/>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41"/>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6" x14ac:dyDescent="0.3">
      <c r="C112" s="14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1"/>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41"/>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6" x14ac:dyDescent="0.3">
      <c r="C115" s="14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t="str">
        <f>IF('Synergy Project'!G28:L28="","",'Synergy Project'!G28:L28)</f>
        <v>Brendon Binder</v>
      </c>
      <c r="H125" s="114"/>
      <c r="I125" s="114"/>
      <c r="J125" s="114"/>
      <c r="K125" s="114"/>
      <c r="L125" s="114"/>
      <c r="P125" s="19" t="s">
        <v>0</v>
      </c>
      <c r="Q125" s="19"/>
      <c r="R125" s="19"/>
      <c r="S125" s="129">
        <f>'Davinci Files'!Q76</f>
        <v>43027</v>
      </c>
      <c r="T125" s="129"/>
      <c r="AA125" s="13"/>
    </row>
    <row r="126" spans="3:28" x14ac:dyDescent="0.25">
      <c r="C126" s="12"/>
      <c r="AA126" s="13"/>
    </row>
    <row r="127" spans="3:28" ht="13.8" thickBot="1" x14ac:dyDescent="0.3">
      <c r="C127" s="12"/>
      <c r="D127" s="6" t="s">
        <v>41</v>
      </c>
      <c r="E127" s="9"/>
      <c r="F127" s="25"/>
      <c r="G127" s="25"/>
      <c r="H127" s="113" t="str">
        <f>IF('Davinci Files'!H78:L78="","",'Davinci Files'!H78:L78)</f>
        <v>Shawn Penning</v>
      </c>
      <c r="I127" s="114"/>
      <c r="J127" s="114"/>
      <c r="K127" s="114"/>
      <c r="L127" s="114"/>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13" t="str">
        <f>IF('Davinci Files'!H80:L80="","",'Davinci Files'!H80:L80)</f>
        <v/>
      </c>
      <c r="I129" s="114"/>
      <c r="J129" s="114"/>
      <c r="K129" s="114"/>
      <c r="L129" s="114"/>
      <c r="M129" s="25"/>
      <c r="N129" s="113" t="str">
        <f>IF('Davinci Files'!N80:R80="","",'Davinci Files'!N80:R80)</f>
        <v/>
      </c>
      <c r="O129" s="114"/>
      <c r="P129" s="114"/>
      <c r="Q129" s="114"/>
      <c r="R129" s="114"/>
      <c r="S129" s="25"/>
      <c r="T129" s="113" t="str">
        <f>IF('Davinci Files'!T80:X80="","",'Davinci Files'!T80:X80)</f>
        <v/>
      </c>
      <c r="U129" s="114"/>
      <c r="V129" s="114"/>
      <c r="W129" s="114"/>
      <c r="X129" s="114"/>
      <c r="AA129" s="13"/>
    </row>
    <row r="130" spans="3:27" x14ac:dyDescent="0.25">
      <c r="C130" s="12"/>
      <c r="D130" s="84"/>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13" t="str">
        <f>IF('Davinci Files'!H82:L82="","",'Davinci Files'!H82:L82)</f>
        <v/>
      </c>
      <c r="I131" s="114"/>
      <c r="J131" s="114"/>
      <c r="K131" s="114"/>
      <c r="L131" s="114"/>
      <c r="M131" s="25"/>
      <c r="N131" s="113" t="str">
        <f>IF('Davinci Files'!N82:R82="","",'Davinci Files'!N82:R82)</f>
        <v/>
      </c>
      <c r="O131" s="114"/>
      <c r="P131" s="114"/>
      <c r="Q131" s="114"/>
      <c r="R131" s="114"/>
      <c r="S131" s="25"/>
      <c r="T131" s="113" t="str">
        <f>IF('Davinci Files'!T82:X82="","",'Davinci Files'!T82:X82)</f>
        <v/>
      </c>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I9:V9"/>
    <mergeCell ref="G4:Q4"/>
    <mergeCell ref="G5:Q5"/>
    <mergeCell ref="X1:Y1"/>
    <mergeCell ref="Z1:AA1"/>
    <mergeCell ref="C2:AA2"/>
    <mergeCell ref="W4:AA4"/>
    <mergeCell ref="W5:AA5"/>
    <mergeCell ref="Z7:AA7"/>
    <mergeCell ref="F7:V7"/>
    <mergeCell ref="Z9:AA9"/>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zoomScaleNormal="100" workbookViewId="0">
      <selection activeCell="U127" sqref="U127"/>
    </sheetView>
  </sheetViews>
  <sheetFormatPr defaultRowHeight="13.2" x14ac:dyDescent="0.25"/>
  <cols>
    <col min="1" max="1" width="9.21875" customWidth="1"/>
    <col min="3" max="27" width="4.7773437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3"/>
      <c r="I4" s="113"/>
      <c r="J4" s="113"/>
      <c r="K4" s="113"/>
      <c r="L4" s="113"/>
      <c r="M4" s="113"/>
      <c r="N4" s="113"/>
      <c r="O4" s="113"/>
      <c r="P4" s="113"/>
      <c r="Q4" s="113"/>
      <c r="R4" s="113"/>
      <c r="S4" s="113"/>
      <c r="T4" s="113"/>
      <c r="U4" s="6" t="s">
        <v>13</v>
      </c>
      <c r="V4" s="6"/>
      <c r="W4" s="6"/>
      <c r="X4" s="6"/>
      <c r="Y4" s="113"/>
      <c r="Z4" s="113"/>
      <c r="AA4" s="6"/>
      <c r="AB4" s="3"/>
    </row>
    <row r="5" spans="3:28" ht="16.2" thickBot="1" x14ac:dyDescent="0.35">
      <c r="D5" s="19" t="s">
        <v>44</v>
      </c>
      <c r="G5" s="6"/>
      <c r="H5" s="142"/>
      <c r="I5" s="142"/>
      <c r="J5" s="142"/>
      <c r="K5" s="142"/>
      <c r="L5" s="142"/>
      <c r="M5" s="142"/>
      <c r="N5" s="142"/>
      <c r="O5" s="142"/>
      <c r="P5" s="142"/>
      <c r="Q5" s="142"/>
      <c r="R5" s="142"/>
      <c r="S5" s="142"/>
      <c r="T5" s="142"/>
      <c r="U5" s="6" t="s">
        <v>13</v>
      </c>
      <c r="V5" s="6"/>
      <c r="W5" s="6"/>
      <c r="X5" s="6"/>
      <c r="Y5" s="113"/>
      <c r="Z5" s="113"/>
      <c r="AA5" s="6"/>
      <c r="AB5" s="3"/>
    </row>
    <row r="6" spans="3:28" ht="16.2" thickBot="1" x14ac:dyDescent="0.35">
      <c r="D6" s="19" t="s">
        <v>44</v>
      </c>
      <c r="G6" s="6"/>
      <c r="H6" s="142"/>
      <c r="I6" s="142"/>
      <c r="J6" s="142"/>
      <c r="K6" s="142"/>
      <c r="L6" s="142"/>
      <c r="M6" s="142"/>
      <c r="N6" s="142"/>
      <c r="O6" s="142"/>
      <c r="P6" s="142"/>
      <c r="Q6" s="142"/>
      <c r="R6" s="142"/>
      <c r="S6" s="142"/>
      <c r="T6" s="142"/>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3"/>
      <c r="N8" s="113"/>
      <c r="O8" s="113"/>
      <c r="P8" s="113"/>
      <c r="Q8" s="113"/>
      <c r="R8" s="113"/>
      <c r="S8" s="113"/>
      <c r="T8" s="11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100" t="s">
        <v>5</v>
      </c>
      <c r="R12" s="6"/>
      <c r="S12" s="6"/>
      <c r="T12" s="6"/>
      <c r="U12" s="6"/>
      <c r="V12" s="6"/>
      <c r="W12" s="6"/>
      <c r="X12" s="6"/>
      <c r="Y12" s="6"/>
      <c r="Z12" s="6"/>
      <c r="AA12" s="6"/>
      <c r="AB12" s="3"/>
    </row>
    <row r="13" spans="3:28" ht="15.6" x14ac:dyDescent="0.3">
      <c r="C13" s="101"/>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1"/>
      <c r="D14" s="84" t="s">
        <v>192</v>
      </c>
      <c r="E14" s="84"/>
      <c r="G14" s="49"/>
      <c r="H14" s="84"/>
      <c r="I14" s="83"/>
      <c r="J14" s="83"/>
      <c r="K14" s="83"/>
      <c r="L14" s="84"/>
      <c r="M14" s="84"/>
      <c r="N14" s="7" t="s">
        <v>6</v>
      </c>
      <c r="O14" s="42"/>
      <c r="P14" s="84"/>
      <c r="Q14" s="6" t="s">
        <v>4</v>
      </c>
      <c r="R14" s="9"/>
      <c r="S14" s="6"/>
      <c r="T14" s="131"/>
      <c r="U14" s="131"/>
      <c r="V14" s="131"/>
      <c r="W14" s="131"/>
      <c r="X14" s="131"/>
      <c r="Y14" s="131"/>
      <c r="Z14" s="131"/>
      <c r="AA14" s="6"/>
      <c r="AB14" s="3"/>
    </row>
    <row r="15" spans="3:28" ht="15.6" x14ac:dyDescent="0.3">
      <c r="C15" s="101"/>
      <c r="D15" s="84" t="s">
        <v>112</v>
      </c>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01"/>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1"/>
      <c r="D17" s="143" t="s">
        <v>194</v>
      </c>
      <c r="E17" s="144"/>
      <c r="F17" s="144"/>
      <c r="G17" s="144"/>
      <c r="H17" s="144"/>
      <c r="I17" s="144"/>
      <c r="J17" s="144"/>
      <c r="K17" s="144"/>
      <c r="L17" s="144"/>
      <c r="M17" s="144"/>
      <c r="N17" s="7" t="s">
        <v>6</v>
      </c>
      <c r="O17" s="42"/>
      <c r="P17" s="84"/>
      <c r="Q17" s="6" t="s">
        <v>4</v>
      </c>
      <c r="R17" s="9"/>
      <c r="S17" s="6"/>
      <c r="T17" s="131"/>
      <c r="U17" s="131"/>
      <c r="V17" s="131"/>
      <c r="W17" s="131"/>
      <c r="X17" s="131"/>
      <c r="Y17" s="131"/>
      <c r="Z17" s="131"/>
      <c r="AA17" s="6"/>
      <c r="AB17" s="3"/>
    </row>
    <row r="18" spans="3:28" ht="15.6" x14ac:dyDescent="0.3">
      <c r="C18" s="101"/>
      <c r="D18" s="84"/>
      <c r="E18" s="84" t="s">
        <v>193</v>
      </c>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01"/>
      <c r="D19" s="84"/>
      <c r="E19" s="22"/>
      <c r="F19" s="23"/>
      <c r="G19" s="22"/>
      <c r="H19" s="22"/>
      <c r="I19" s="24"/>
      <c r="J19" s="24"/>
      <c r="K19" s="24"/>
      <c r="L19" s="22"/>
      <c r="M19" s="22"/>
      <c r="N19" s="7"/>
      <c r="O19" s="6"/>
      <c r="P19" s="84"/>
      <c r="Q19" s="132"/>
      <c r="R19" s="132"/>
      <c r="S19" s="132"/>
      <c r="T19" s="132"/>
      <c r="U19" s="132"/>
      <c r="V19" s="132"/>
      <c r="W19" s="132"/>
      <c r="X19" s="132"/>
      <c r="Y19" s="132"/>
      <c r="Z19" s="132"/>
      <c r="AA19" s="6"/>
      <c r="AB19" s="3"/>
    </row>
    <row r="20" spans="3:28" ht="15.6" x14ac:dyDescent="0.3">
      <c r="C20" s="101"/>
      <c r="D20" s="62" t="s">
        <v>198</v>
      </c>
      <c r="E20" s="84"/>
      <c r="G20" s="49"/>
      <c r="H20" s="84"/>
      <c r="I20" s="83"/>
      <c r="J20" s="83"/>
      <c r="K20" s="83"/>
      <c r="L20" s="84"/>
      <c r="M20" s="84"/>
      <c r="N20" s="7" t="s">
        <v>6</v>
      </c>
      <c r="O20" s="42"/>
      <c r="P20" s="84"/>
      <c r="Q20" s="6" t="s">
        <v>4</v>
      </c>
      <c r="R20" s="9"/>
      <c r="S20" s="6"/>
      <c r="T20" s="131"/>
      <c r="U20" s="131"/>
      <c r="V20" s="131"/>
      <c r="W20" s="131"/>
      <c r="X20" s="131"/>
      <c r="Y20" s="131"/>
      <c r="Z20" s="131"/>
      <c r="AA20" s="6"/>
      <c r="AB20" s="3"/>
    </row>
    <row r="21" spans="3:28" ht="15.6" x14ac:dyDescent="0.3">
      <c r="C21" s="101"/>
      <c r="D21" s="84"/>
      <c r="E21" s="84" t="s">
        <v>199</v>
      </c>
      <c r="G21" s="84"/>
      <c r="H21" s="84"/>
      <c r="I21" s="83"/>
      <c r="J21" s="83"/>
      <c r="K21" s="83"/>
      <c r="L21" s="84"/>
      <c r="M21" s="84"/>
      <c r="N21" s="7"/>
      <c r="O21" s="6"/>
      <c r="P21" s="84"/>
      <c r="Q21" s="132"/>
      <c r="R21" s="132"/>
      <c r="S21" s="132"/>
      <c r="T21" s="132"/>
      <c r="U21" s="132"/>
      <c r="V21" s="132"/>
      <c r="W21" s="132"/>
      <c r="X21" s="132"/>
      <c r="Y21" s="132"/>
      <c r="Z21" s="132"/>
      <c r="AA21" s="6"/>
      <c r="AB21" s="3"/>
    </row>
    <row r="22" spans="3:28" ht="16.5" customHeight="1" x14ac:dyDescent="0.3">
      <c r="C22" s="101"/>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1"/>
      <c r="D23" s="62" t="s">
        <v>197</v>
      </c>
      <c r="E23" s="84"/>
      <c r="G23" s="49"/>
      <c r="H23" s="84"/>
      <c r="I23" s="83"/>
      <c r="J23" s="83"/>
      <c r="K23" s="83"/>
      <c r="L23" s="84"/>
      <c r="M23" s="84"/>
      <c r="N23" s="7" t="s">
        <v>6</v>
      </c>
      <c r="O23" s="42"/>
      <c r="P23" s="84"/>
      <c r="Q23" s="6" t="s">
        <v>4</v>
      </c>
      <c r="R23" s="9"/>
      <c r="S23" s="6"/>
      <c r="T23" s="131"/>
      <c r="U23" s="131"/>
      <c r="V23" s="131"/>
      <c r="W23" s="131"/>
      <c r="X23" s="131"/>
      <c r="Y23" s="131"/>
      <c r="Z23" s="131"/>
      <c r="AA23" s="6"/>
      <c r="AB23" s="3"/>
    </row>
    <row r="24" spans="3:28" ht="15.6" x14ac:dyDescent="0.3">
      <c r="C24" s="101"/>
      <c r="D24" s="84"/>
      <c r="E24" s="84" t="s">
        <v>196</v>
      </c>
      <c r="G24" s="84"/>
      <c r="H24" s="84"/>
      <c r="I24" s="83"/>
      <c r="J24" s="83"/>
      <c r="K24" s="83"/>
      <c r="L24" s="84"/>
      <c r="M24" s="84"/>
      <c r="N24" s="7"/>
      <c r="O24" s="6"/>
      <c r="P24" s="84"/>
      <c r="Q24" s="132"/>
      <c r="R24" s="132"/>
      <c r="S24" s="132"/>
      <c r="T24" s="132"/>
      <c r="U24" s="132"/>
      <c r="V24" s="132"/>
      <c r="W24" s="132"/>
      <c r="X24" s="132"/>
      <c r="Y24" s="132"/>
      <c r="Z24" s="132"/>
      <c r="AA24" s="6"/>
      <c r="AB24" s="3"/>
    </row>
    <row r="25" spans="3:28" ht="15.6" x14ac:dyDescent="0.3">
      <c r="C25" s="101"/>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1"/>
      <c r="D26" s="62" t="s">
        <v>200</v>
      </c>
      <c r="E26" s="84"/>
      <c r="G26" s="49"/>
      <c r="H26" s="84"/>
      <c r="I26" s="83"/>
      <c r="J26" s="83"/>
      <c r="K26" s="83"/>
      <c r="L26" s="84"/>
      <c r="M26" s="84"/>
      <c r="N26" s="7" t="s">
        <v>6</v>
      </c>
      <c r="O26" s="42"/>
      <c r="P26" s="84"/>
      <c r="Q26" s="6" t="s">
        <v>4</v>
      </c>
      <c r="R26" s="9"/>
      <c r="S26" s="6"/>
      <c r="T26" s="131"/>
      <c r="U26" s="131"/>
      <c r="V26" s="131"/>
      <c r="W26" s="131"/>
      <c r="X26" s="131"/>
      <c r="Y26" s="131"/>
      <c r="Z26" s="131"/>
      <c r="AA26" s="6"/>
      <c r="AB26" s="3"/>
    </row>
    <row r="27" spans="3:28" ht="15.6" x14ac:dyDescent="0.3">
      <c r="C27" s="101"/>
      <c r="D27" s="84"/>
      <c r="E27" s="84" t="s">
        <v>201</v>
      </c>
      <c r="G27" s="84"/>
      <c r="H27" s="84"/>
      <c r="I27" s="83"/>
      <c r="J27" s="83"/>
      <c r="K27" s="83"/>
      <c r="L27" s="84"/>
      <c r="M27" s="84"/>
      <c r="N27" s="7"/>
      <c r="O27" s="6"/>
      <c r="P27" s="84"/>
      <c r="Q27" s="132"/>
      <c r="R27" s="132"/>
      <c r="S27" s="132"/>
      <c r="T27" s="132"/>
      <c r="U27" s="132"/>
      <c r="V27" s="132"/>
      <c r="W27" s="132"/>
      <c r="X27" s="132"/>
      <c r="Y27" s="132"/>
      <c r="Z27" s="132"/>
      <c r="AA27" s="6"/>
      <c r="AB27" s="3"/>
    </row>
    <row r="28" spans="3:28" ht="15.6" x14ac:dyDescent="0.3">
      <c r="C28" s="101"/>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6" x14ac:dyDescent="0.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84"/>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20"/>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Z37" s="20"/>
      <c r="AA37" s="20"/>
      <c r="AB37" s="3"/>
    </row>
    <row r="38" spans="3:28" x14ac:dyDescent="0.25">
      <c r="C38" s="118" t="s">
        <v>45</v>
      </c>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20"/>
    </row>
    <row r="39" spans="3:28" x14ac:dyDescent="0.25">
      <c r="C39" s="12"/>
      <c r="J39" s="9"/>
      <c r="K39" s="6"/>
      <c r="L39" s="9"/>
      <c r="M39" s="25"/>
      <c r="N39" s="25"/>
      <c r="O39" s="25"/>
      <c r="P39" s="25"/>
      <c r="R39" s="9"/>
      <c r="S39" s="9"/>
      <c r="T39" s="9"/>
      <c r="U39" s="9"/>
      <c r="AA39" s="13"/>
    </row>
    <row r="40" spans="3:28" ht="13.8" thickBot="1" x14ac:dyDescent="0.3">
      <c r="C40" s="12"/>
      <c r="D40" s="6" t="s">
        <v>46</v>
      </c>
      <c r="E40" s="9"/>
      <c r="F40" s="25"/>
      <c r="G40" s="114" t="str">
        <f>IF('Synergy Project'!G28:L28="","",'Synergy Project'!G28:L28)</f>
        <v>Brendon Binder</v>
      </c>
      <c r="H40" s="114"/>
      <c r="I40" s="114"/>
      <c r="J40" s="114"/>
      <c r="K40" s="114"/>
      <c r="L40" s="114"/>
      <c r="P40" s="19" t="s">
        <v>0</v>
      </c>
      <c r="Q40" s="19"/>
      <c r="R40" s="19"/>
      <c r="S40" s="129">
        <f>'Davinci Files'!Q76</f>
        <v>43027</v>
      </c>
      <c r="T40" s="129"/>
      <c r="AA40" s="13"/>
    </row>
    <row r="41" spans="3:28" x14ac:dyDescent="0.25">
      <c r="C41" s="12"/>
      <c r="AA41" s="13"/>
    </row>
    <row r="42" spans="3:28" ht="13.8" thickBot="1" x14ac:dyDescent="0.3">
      <c r="C42" s="12"/>
      <c r="D42" s="6" t="s">
        <v>41</v>
      </c>
      <c r="E42" s="9"/>
      <c r="F42" s="25"/>
      <c r="G42" s="25"/>
      <c r="H42" s="113" t="str">
        <f>IF('Davinci Files'!H78:L78="","",'Davinci Files'!H78:L78)</f>
        <v>Shawn Penning</v>
      </c>
      <c r="I42" s="114"/>
      <c r="J42" s="114"/>
      <c r="K42" s="114"/>
      <c r="L42" s="114"/>
      <c r="P42" s="6" t="s">
        <v>47</v>
      </c>
      <c r="Q42" s="9"/>
      <c r="U42" s="96"/>
      <c r="X42" s="9"/>
      <c r="Y42" s="25"/>
      <c r="Z42" s="25"/>
      <c r="AA42" s="13"/>
    </row>
    <row r="43" spans="3:28" x14ac:dyDescent="0.25">
      <c r="C43" s="12"/>
      <c r="Y43" s="94"/>
      <c r="Z43" s="94"/>
      <c r="AA43" s="13"/>
    </row>
    <row r="44" spans="3:28" ht="13.8" thickBot="1" x14ac:dyDescent="0.3">
      <c r="C44" s="12"/>
      <c r="D44" s="84" t="s">
        <v>10</v>
      </c>
      <c r="E44" s="9"/>
      <c r="F44" s="9"/>
      <c r="G44" s="9"/>
      <c r="H44" s="113" t="s">
        <v>208</v>
      </c>
      <c r="I44" s="114"/>
      <c r="J44" s="114"/>
      <c r="K44" s="114"/>
      <c r="L44" s="114"/>
      <c r="M44" s="25"/>
      <c r="N44" s="113" t="str">
        <f>IF('Davinci Files'!N80:R80="","",'Davinci Files'!N80:R80)</f>
        <v/>
      </c>
      <c r="O44" s="114"/>
      <c r="P44" s="114"/>
      <c r="Q44" s="114"/>
      <c r="R44" s="114"/>
      <c r="S44" s="25"/>
      <c r="T44" s="113" t="str">
        <f>IF('Davinci Files'!T80:X80="","",'Davinci Files'!T80:X80)</f>
        <v/>
      </c>
      <c r="U44" s="114"/>
      <c r="V44" s="114"/>
      <c r="W44" s="114"/>
      <c r="X44" s="114"/>
      <c r="AA44" s="13"/>
    </row>
    <row r="45" spans="3:28" x14ac:dyDescent="0.25">
      <c r="C45" s="12"/>
      <c r="D45" s="84"/>
      <c r="E45" s="9"/>
      <c r="F45" s="9"/>
      <c r="G45" s="9"/>
      <c r="H45" s="103"/>
      <c r="I45" s="103"/>
      <c r="J45" s="103"/>
      <c r="K45" s="103"/>
      <c r="L45" s="9"/>
      <c r="M45" s="103"/>
      <c r="N45" s="103"/>
      <c r="O45" s="103"/>
      <c r="P45" s="103"/>
      <c r="Q45" s="9"/>
      <c r="R45" s="103"/>
      <c r="S45" s="103"/>
      <c r="T45" s="103"/>
      <c r="U45" s="103"/>
      <c r="V45" s="9"/>
      <c r="W45" s="103"/>
      <c r="X45" s="103"/>
      <c r="Y45" s="25"/>
      <c r="Z45" s="25"/>
      <c r="AA45" s="13"/>
    </row>
    <row r="46" spans="3:28" ht="13.8" thickBot="1" x14ac:dyDescent="0.3">
      <c r="C46" s="12"/>
      <c r="H46" s="113" t="str">
        <f>IF('Davinci Files'!H82:L82="","",'Davinci Files'!H82:L82)</f>
        <v/>
      </c>
      <c r="I46" s="114"/>
      <c r="J46" s="114"/>
      <c r="K46" s="114"/>
      <c r="L46" s="114"/>
      <c r="M46" s="25"/>
      <c r="N46" s="113" t="str">
        <f>IF('Davinci Files'!N82:R82="","",'Davinci Files'!N82:R82)</f>
        <v/>
      </c>
      <c r="O46" s="114"/>
      <c r="P46" s="114"/>
      <c r="Q46" s="114"/>
      <c r="R46" s="114"/>
      <c r="S46" s="25"/>
      <c r="T46" s="113" t="str">
        <f>IF('Davinci Files'!T82:X82="","",'Davinci Files'!T82:X82)</f>
        <v/>
      </c>
      <c r="U46" s="114"/>
      <c r="V46" s="114"/>
      <c r="W46" s="114"/>
      <c r="X46" s="114"/>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8">
    <mergeCell ref="Y6:Z6"/>
    <mergeCell ref="X1:Y1"/>
    <mergeCell ref="Z1:AA1"/>
    <mergeCell ref="C2:AA2"/>
    <mergeCell ref="Y4:Z4"/>
    <mergeCell ref="Y5:Z5"/>
    <mergeCell ref="H4:T4"/>
    <mergeCell ref="H5:T5"/>
    <mergeCell ref="H6:T6"/>
    <mergeCell ref="C38:AA38"/>
    <mergeCell ref="G40:L40"/>
    <mergeCell ref="S40:T40"/>
    <mergeCell ref="Q21:Z21"/>
    <mergeCell ref="H9:M9"/>
    <mergeCell ref="U9:Z9"/>
    <mergeCell ref="T14:Z14"/>
    <mergeCell ref="Q15:Z15"/>
    <mergeCell ref="D17:M17"/>
    <mergeCell ref="T17:Z17"/>
    <mergeCell ref="Q18:Z18"/>
    <mergeCell ref="Q19:Z19"/>
    <mergeCell ref="T20:Z20"/>
    <mergeCell ref="M8:T8"/>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127"/>
  <sheetViews>
    <sheetView zoomScaleNormal="100" workbookViewId="0">
      <selection activeCell="M10" sqref="M10"/>
    </sheetView>
  </sheetViews>
  <sheetFormatPr defaultRowHeight="13.2" x14ac:dyDescent="0.25"/>
  <cols>
    <col min="1" max="1" width="9.21875" customWidth="1"/>
    <col min="3" max="27" width="4.7773437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3"/>
      <c r="H4" s="113"/>
      <c r="I4" s="113"/>
      <c r="J4" s="113"/>
      <c r="K4" s="113"/>
      <c r="L4" s="113"/>
      <c r="M4" s="113"/>
      <c r="N4" s="113"/>
      <c r="O4" s="113"/>
      <c r="P4" s="113"/>
      <c r="Q4" s="113"/>
      <c r="R4" s="113"/>
      <c r="S4" s="113"/>
      <c r="T4" s="113"/>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3"/>
      <c r="I6" s="113"/>
      <c r="J6" s="113"/>
      <c r="K6" s="113"/>
      <c r="L6" s="113"/>
      <c r="M6" s="113"/>
      <c r="N6" s="113"/>
      <c r="O6" s="113"/>
      <c r="P6" s="113"/>
      <c r="Q6" s="113"/>
      <c r="R6" s="113"/>
      <c r="S6" s="113"/>
      <c r="T6" s="113"/>
      <c r="U6" s="6" t="s">
        <v>13</v>
      </c>
      <c r="V6" s="6"/>
      <c r="W6" s="6"/>
      <c r="X6" s="6"/>
      <c r="Y6" s="113"/>
      <c r="Z6" s="113"/>
      <c r="AA6" s="6"/>
      <c r="AB6" s="3"/>
    </row>
    <row r="7" spans="3:28" ht="16.2" thickBot="1" x14ac:dyDescent="0.35">
      <c r="D7" s="19" t="s">
        <v>44</v>
      </c>
      <c r="G7" s="6"/>
      <c r="H7" s="142"/>
      <c r="I7" s="142"/>
      <c r="J7" s="142"/>
      <c r="K7" s="142"/>
      <c r="L7" s="142"/>
      <c r="M7" s="142"/>
      <c r="N7" s="142"/>
      <c r="O7" s="142"/>
      <c r="P7" s="142"/>
      <c r="Q7" s="142"/>
      <c r="R7" s="142"/>
      <c r="S7" s="142"/>
      <c r="T7" s="142"/>
      <c r="U7" s="6" t="s">
        <v>13</v>
      </c>
      <c r="V7" s="6"/>
      <c r="W7" s="6"/>
      <c r="X7" s="6"/>
      <c r="Y7" s="113"/>
      <c r="Z7" s="113"/>
      <c r="AA7" s="6"/>
      <c r="AB7" s="3"/>
    </row>
    <row r="8" spans="3:28" ht="16.2" thickBot="1" x14ac:dyDescent="0.35">
      <c r="D8" s="19" t="s">
        <v>44</v>
      </c>
      <c r="G8" s="6"/>
      <c r="H8" s="142"/>
      <c r="I8" s="142"/>
      <c r="J8" s="142"/>
      <c r="K8" s="142"/>
      <c r="L8" s="142"/>
      <c r="M8" s="142"/>
      <c r="N8" s="142"/>
      <c r="O8" s="142"/>
      <c r="P8" s="142"/>
      <c r="Q8" s="142"/>
      <c r="R8" s="142"/>
      <c r="S8" s="142"/>
      <c r="T8" s="142"/>
      <c r="U8" s="6" t="s">
        <v>13</v>
      </c>
      <c r="V8" s="6"/>
      <c r="W8" s="6"/>
      <c r="X8" s="6"/>
      <c r="Y8" s="113"/>
      <c r="Z8" s="113"/>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c r="P12" s="84"/>
      <c r="Q12" s="6" t="s">
        <v>4</v>
      </c>
      <c r="R12" s="9"/>
      <c r="S12" s="6"/>
      <c r="T12" s="131"/>
      <c r="U12" s="131"/>
      <c r="V12" s="131"/>
      <c r="W12" s="131"/>
      <c r="X12" s="131"/>
      <c r="Y12" s="131"/>
      <c r="Z12" s="131"/>
      <c r="AA12" s="6"/>
      <c r="AB12" s="3"/>
    </row>
    <row r="13" spans="3:28" ht="15.6" x14ac:dyDescent="0.3">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c r="P15" s="84"/>
      <c r="Q15" s="6" t="s">
        <v>4</v>
      </c>
      <c r="R15" s="9"/>
      <c r="S15" s="6"/>
      <c r="T15" s="131"/>
      <c r="U15" s="131"/>
      <c r="V15" s="131"/>
      <c r="W15" s="131"/>
      <c r="X15" s="131"/>
      <c r="Y15" s="131"/>
      <c r="Z15" s="131"/>
      <c r="AA15" s="6"/>
      <c r="AB15" s="3"/>
    </row>
    <row r="16" spans="3:28" ht="15.6" x14ac:dyDescent="0.3">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c r="P18" s="84"/>
      <c r="Q18" s="6" t="s">
        <v>4</v>
      </c>
      <c r="R18" s="9"/>
      <c r="S18" s="6"/>
      <c r="T18" s="131"/>
      <c r="U18" s="131"/>
      <c r="V18" s="131"/>
      <c r="W18" s="131"/>
      <c r="X18" s="131"/>
      <c r="Y18" s="131"/>
      <c r="Z18" s="131"/>
      <c r="AA18" s="6"/>
      <c r="AB18" s="3"/>
    </row>
    <row r="19" spans="3:28" ht="15.6" x14ac:dyDescent="0.3">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84"/>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t="str">
        <f>IF('Synergy Project'!G28:L28="","",'Synergy Project'!G28:L28)</f>
        <v>Brendon Binder</v>
      </c>
      <c r="H45" s="114"/>
      <c r="I45" s="114"/>
      <c r="J45" s="114"/>
      <c r="K45" s="114"/>
      <c r="L45" s="114"/>
      <c r="P45" s="19" t="s">
        <v>0</v>
      </c>
      <c r="Q45" s="19"/>
      <c r="R45" s="19"/>
      <c r="S45" s="129">
        <f>'Davinci Files'!Q76</f>
        <v>43027</v>
      </c>
      <c r="T45" s="129"/>
      <c r="AA45" s="13"/>
    </row>
    <row r="46" spans="3:28" x14ac:dyDescent="0.25">
      <c r="C46" s="12"/>
      <c r="AA46" s="13"/>
    </row>
    <row r="47" spans="3:28" ht="13.8" thickBot="1" x14ac:dyDescent="0.3">
      <c r="C47" s="12"/>
      <c r="D47" s="6" t="s">
        <v>41</v>
      </c>
      <c r="E47" s="9"/>
      <c r="F47" s="25"/>
      <c r="G47" s="25"/>
      <c r="H47" s="113" t="str">
        <f>IF('Davinci Files'!H78:L78="","",'Davinci Files'!H78:L78)</f>
        <v>Shawn Penning</v>
      </c>
      <c r="I47" s="114"/>
      <c r="J47" s="114"/>
      <c r="K47" s="114"/>
      <c r="L47" s="114"/>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3" t="str">
        <f>IF('Davinci Files'!H80:L80="","",'Davinci Files'!H80:L80)</f>
        <v/>
      </c>
      <c r="I49" s="114"/>
      <c r="J49" s="114"/>
      <c r="K49" s="114"/>
      <c r="L49" s="114"/>
      <c r="M49" s="25"/>
      <c r="N49" s="113" t="str">
        <f>IF('Davinci Files'!N80:R80="","",'Davinci Files'!N80:R80)</f>
        <v/>
      </c>
      <c r="O49" s="114"/>
      <c r="P49" s="114"/>
      <c r="Q49" s="114"/>
      <c r="R49" s="114"/>
      <c r="S49" s="25"/>
      <c r="T49" s="113" t="str">
        <f>IF('Davinci Files'!T80:X80="","",'Davinci Files'!T80:X80)</f>
        <v/>
      </c>
      <c r="U49" s="114"/>
      <c r="V49" s="114"/>
      <c r="W49" s="114"/>
      <c r="X49" s="114"/>
      <c r="AA49" s="13"/>
    </row>
    <row r="50" spans="3:27" x14ac:dyDescent="0.25">
      <c r="C50" s="12"/>
      <c r="D50" s="84"/>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H51" s="113" t="str">
        <f>IF('Davinci Files'!H82:L82="","",'Davinci Files'!H82:L82)</f>
        <v/>
      </c>
      <c r="I51" s="114"/>
      <c r="J51" s="114"/>
      <c r="K51" s="114"/>
      <c r="L51" s="114"/>
      <c r="M51" s="25"/>
      <c r="N51" s="113" t="str">
        <f>IF('Davinci Files'!N82:R82="","",'Davinci Files'!N82:R82)</f>
        <v/>
      </c>
      <c r="O51" s="114"/>
      <c r="P51" s="114"/>
      <c r="Q51" s="114"/>
      <c r="R51" s="114"/>
      <c r="S51" s="25"/>
      <c r="T51" s="113" t="str">
        <f>IF('Davinci Files'!T82:X82="","",'Davinci Files'!T82:X82)</f>
        <v/>
      </c>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row r="127" spans="8:8" x14ac:dyDescent="0.25">
      <c r="H127" t="str">
        <f>IF('Davinci Files'!H79:L79="","",'Synergy Project'!G77:L77)</f>
        <v/>
      </c>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M11" sqref="M11"/>
    </sheetView>
  </sheetViews>
  <sheetFormatPr defaultRowHeight="13.2" x14ac:dyDescent="0.25"/>
  <cols>
    <col min="1" max="1" width="9.21875" customWidth="1"/>
    <col min="3" max="27" width="4.7773437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5"/>
      <c r="D8" s="84" t="s">
        <v>96</v>
      </c>
      <c r="E8" s="84"/>
      <c r="G8" s="84"/>
      <c r="H8" s="84"/>
      <c r="I8" s="83"/>
      <c r="J8" s="83"/>
      <c r="K8" s="83"/>
      <c r="L8" s="84"/>
      <c r="M8" s="84"/>
      <c r="N8" s="7" t="s">
        <v>6</v>
      </c>
      <c r="O8" s="42" t="s">
        <v>6</v>
      </c>
      <c r="P8" s="84"/>
      <c r="Q8" s="6" t="s">
        <v>4</v>
      </c>
      <c r="R8" s="9"/>
      <c r="S8" s="6"/>
      <c r="T8" s="131"/>
      <c r="U8" s="131"/>
      <c r="V8" s="131"/>
      <c r="W8" s="131"/>
      <c r="X8" s="131"/>
      <c r="Y8" s="131"/>
      <c r="Z8" s="131"/>
      <c r="AA8" s="6"/>
      <c r="AB8" s="3"/>
    </row>
    <row r="9" spans="3:28" ht="15.6" x14ac:dyDescent="0.3">
      <c r="C9" s="145"/>
      <c r="D9" s="84"/>
      <c r="E9" s="84"/>
      <c r="G9" s="84"/>
      <c r="H9" s="84"/>
      <c r="I9" s="83"/>
      <c r="J9" s="83"/>
      <c r="K9" s="83"/>
      <c r="L9" s="84"/>
      <c r="M9" s="84"/>
      <c r="N9" s="7"/>
      <c r="O9" s="84"/>
      <c r="P9" s="84"/>
      <c r="Q9" s="132"/>
      <c r="R9" s="132"/>
      <c r="S9" s="132"/>
      <c r="T9" s="132"/>
      <c r="U9" s="132"/>
      <c r="V9" s="132"/>
      <c r="W9" s="132"/>
      <c r="X9" s="132"/>
      <c r="Y9" s="132"/>
      <c r="Z9" s="132"/>
      <c r="AA9" s="6"/>
      <c r="AB9" s="3"/>
    </row>
    <row r="10" spans="3:28" ht="15.6" x14ac:dyDescent="0.3">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5"/>
      <c r="D11" s="84" t="s">
        <v>25</v>
      </c>
      <c r="E11" s="84"/>
      <c r="G11" s="84"/>
      <c r="H11" s="84"/>
      <c r="I11" s="83"/>
      <c r="J11" s="83"/>
      <c r="K11" s="83"/>
      <c r="L11" s="84"/>
      <c r="M11" s="84"/>
      <c r="N11" s="7" t="s">
        <v>6</v>
      </c>
      <c r="O11" s="42" t="s">
        <v>6</v>
      </c>
      <c r="P11" s="84"/>
      <c r="Q11" s="6" t="s">
        <v>4</v>
      </c>
      <c r="R11" s="9"/>
      <c r="S11" s="6"/>
      <c r="T11" s="131"/>
      <c r="U11" s="131"/>
      <c r="V11" s="131"/>
      <c r="W11" s="131"/>
      <c r="X11" s="131"/>
      <c r="Y11" s="131"/>
      <c r="Z11" s="131"/>
      <c r="AA11" s="6"/>
      <c r="AB11" s="3"/>
    </row>
    <row r="12" spans="3:28" ht="15.6" x14ac:dyDescent="0.3">
      <c r="C12" s="145"/>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6" x14ac:dyDescent="0.3">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5"/>
      <c r="D14" s="84" t="s">
        <v>43</v>
      </c>
      <c r="E14" s="84"/>
      <c r="G14" s="84"/>
      <c r="H14" s="84"/>
      <c r="I14" s="83"/>
      <c r="J14" s="83"/>
      <c r="K14" s="83"/>
      <c r="L14" s="84"/>
      <c r="M14" s="84"/>
      <c r="N14" s="7" t="s">
        <v>6</v>
      </c>
      <c r="O14" s="42" t="s">
        <v>6</v>
      </c>
      <c r="P14" s="84"/>
      <c r="Q14" s="6" t="s">
        <v>4</v>
      </c>
      <c r="R14" s="9"/>
      <c r="S14" s="6"/>
      <c r="T14" s="131"/>
      <c r="U14" s="131"/>
      <c r="V14" s="131"/>
      <c r="W14" s="131"/>
      <c r="X14" s="131"/>
      <c r="Y14" s="131"/>
      <c r="Z14" s="131"/>
      <c r="AA14" s="6"/>
      <c r="AB14" s="3"/>
    </row>
    <row r="15" spans="3:28" ht="15.6" x14ac:dyDescent="0.3">
      <c r="C15" s="145"/>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6" x14ac:dyDescent="0.3">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5"/>
      <c r="D17" s="84" t="s">
        <v>26</v>
      </c>
      <c r="E17" s="84"/>
      <c r="G17" s="84"/>
      <c r="H17" s="84"/>
      <c r="I17" s="83"/>
      <c r="J17" s="83"/>
      <c r="K17" s="83"/>
      <c r="L17" s="84"/>
      <c r="M17" s="84"/>
      <c r="N17" s="7" t="s">
        <v>6</v>
      </c>
      <c r="O17" s="42" t="s">
        <v>6</v>
      </c>
      <c r="P17" s="84"/>
      <c r="Q17" s="6" t="s">
        <v>4</v>
      </c>
      <c r="R17" s="9"/>
      <c r="S17" s="6"/>
      <c r="T17" s="131"/>
      <c r="U17" s="131"/>
      <c r="V17" s="131"/>
      <c r="W17" s="131"/>
      <c r="X17" s="131"/>
      <c r="Y17" s="131"/>
      <c r="Z17" s="131"/>
      <c r="AA17" s="6"/>
      <c r="AB17" s="3"/>
    </row>
    <row r="18" spans="3:28" ht="15.6" x14ac:dyDescent="0.3">
      <c r="C18" s="145"/>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6" x14ac:dyDescent="0.3">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t="str">
        <f>IF('Synergy Project'!G28:L28="","",'Synergy Project'!G28:L28)</f>
        <v>Brendon Binder</v>
      </c>
      <c r="H28" s="114"/>
      <c r="I28" s="114"/>
      <c r="J28" s="114"/>
      <c r="K28" s="114"/>
      <c r="L28" s="114"/>
      <c r="P28" s="19" t="s">
        <v>0</v>
      </c>
      <c r="Q28" s="19"/>
      <c r="R28" s="19"/>
      <c r="S28" s="129">
        <f>'Davinci Files'!Q76</f>
        <v>43027</v>
      </c>
      <c r="T28" s="129"/>
      <c r="AA28" s="13"/>
    </row>
    <row r="29" spans="3:28" x14ac:dyDescent="0.25">
      <c r="C29" s="12"/>
      <c r="AA29" s="13"/>
    </row>
    <row r="30" spans="3:28" ht="13.8" thickBot="1" x14ac:dyDescent="0.3">
      <c r="C30" s="12"/>
      <c r="D30" s="6" t="s">
        <v>41</v>
      </c>
      <c r="E30" s="9"/>
      <c r="F30" s="25"/>
      <c r="G30" s="25"/>
      <c r="H30" s="113" t="str">
        <f>IF('Davinci Files'!H78:L78="","",'Davinci Files'!H78:L78)</f>
        <v>Shawn Penning</v>
      </c>
      <c r="I30" s="114"/>
      <c r="J30" s="114"/>
      <c r="K30" s="114"/>
      <c r="L30" s="114"/>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3" t="str">
        <f>IF('Davinci Files'!H80:L80="","",'Davinci Files'!H80:L80)</f>
        <v/>
      </c>
      <c r="I32" s="114"/>
      <c r="J32" s="114"/>
      <c r="K32" s="114"/>
      <c r="L32" s="114"/>
      <c r="M32" s="25"/>
      <c r="N32" s="113" t="str">
        <f>IF('Davinci Files'!N80:R80="","",'Davinci Files'!N80:R80)</f>
        <v/>
      </c>
      <c r="O32" s="114"/>
      <c r="P32" s="114"/>
      <c r="Q32" s="114"/>
      <c r="R32" s="114"/>
      <c r="S32" s="25"/>
      <c r="T32" s="113" t="str">
        <f>IF('Davinci Files'!T80:X80="","",'Davinci Files'!T80:X80)</f>
        <v/>
      </c>
      <c r="U32" s="114"/>
      <c r="V32" s="114"/>
      <c r="W32" s="114"/>
      <c r="X32" s="114"/>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H34" s="113" t="str">
        <f>IF('Davinci Files'!H82:L82="","",'Davinci Files'!H82:L82)</f>
        <v/>
      </c>
      <c r="I34" s="114"/>
      <c r="J34" s="114"/>
      <c r="K34" s="114"/>
      <c r="L34" s="114"/>
      <c r="M34" s="25"/>
      <c r="N34" s="113" t="str">
        <f>IF('Davinci Files'!N82:R82="","",'Davinci Files'!N82:R82)</f>
        <v/>
      </c>
      <c r="O34" s="114"/>
      <c r="P34" s="114"/>
      <c r="Q34" s="114"/>
      <c r="R34" s="114"/>
      <c r="S34" s="25"/>
      <c r="T34" s="113" t="str">
        <f>IF('Davinci Files'!T82:X82="","",'Davinci Files'!T82:X82)</f>
        <v/>
      </c>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election activeCell="U127" sqref="U127"/>
    </sheetView>
  </sheetViews>
  <sheetFormatPr defaultRowHeight="13.2" x14ac:dyDescent="0.25"/>
  <cols>
    <col min="3" max="27" width="4.7773437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6"/>
      <c r="D8" s="84" t="s">
        <v>128</v>
      </c>
      <c r="E8" s="84"/>
      <c r="G8" s="84"/>
      <c r="H8" s="84"/>
      <c r="I8" s="83"/>
      <c r="J8" s="83"/>
      <c r="K8" s="83"/>
      <c r="L8" s="84"/>
      <c r="M8" s="84"/>
      <c r="N8" s="7" t="s">
        <v>6</v>
      </c>
      <c r="O8" s="42" t="s">
        <v>2</v>
      </c>
      <c r="P8" s="84"/>
      <c r="Q8" s="6" t="s">
        <v>4</v>
      </c>
      <c r="R8" s="9"/>
      <c r="S8" s="6"/>
      <c r="T8" s="131"/>
      <c r="U8" s="131"/>
      <c r="V8" s="131"/>
      <c r="W8" s="131"/>
      <c r="X8" s="131"/>
      <c r="Y8" s="131"/>
      <c r="Z8" s="131"/>
      <c r="AA8" s="6"/>
    </row>
    <row r="9" spans="3:27" x14ac:dyDescent="0.25">
      <c r="C9" s="146"/>
      <c r="D9" s="84" t="s">
        <v>129</v>
      </c>
      <c r="E9" s="84"/>
      <c r="G9" s="84"/>
      <c r="H9" s="84"/>
      <c r="I9" s="83"/>
      <c r="J9" s="83"/>
      <c r="K9" s="83"/>
      <c r="L9" s="84"/>
      <c r="M9" s="84"/>
      <c r="N9" s="7"/>
      <c r="O9" s="84"/>
      <c r="P9" s="84"/>
      <c r="Q9" s="132"/>
      <c r="R9" s="132"/>
      <c r="S9" s="132"/>
      <c r="T9" s="132"/>
      <c r="U9" s="132"/>
      <c r="V9" s="132"/>
      <c r="W9" s="132"/>
      <c r="X9" s="132"/>
      <c r="Y9" s="132"/>
      <c r="Z9" s="132"/>
      <c r="AA9" s="6"/>
    </row>
    <row r="10" spans="3:27" x14ac:dyDescent="0.25">
      <c r="C10" s="14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6"/>
      <c r="D11" s="84" t="s">
        <v>111</v>
      </c>
      <c r="E11" s="84"/>
      <c r="G11" s="84"/>
      <c r="H11" s="84"/>
      <c r="I11" s="83"/>
      <c r="J11" s="83"/>
      <c r="K11" s="83"/>
      <c r="L11" s="84"/>
      <c r="M11" s="84"/>
      <c r="N11" s="7" t="s">
        <v>6</v>
      </c>
      <c r="O11" s="42" t="s">
        <v>124</v>
      </c>
      <c r="P11" s="84"/>
      <c r="Q11" s="6" t="s">
        <v>4</v>
      </c>
      <c r="R11" s="9"/>
      <c r="S11" s="6"/>
      <c r="T11" s="131"/>
      <c r="U11" s="131"/>
      <c r="V11" s="131"/>
      <c r="W11" s="131"/>
      <c r="X11" s="131"/>
      <c r="Y11" s="131"/>
      <c r="Z11" s="131"/>
      <c r="AA11" s="6"/>
    </row>
    <row r="12" spans="3:27" x14ac:dyDescent="0.25">
      <c r="C12" s="146"/>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5">
      <c r="C13" s="14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6"/>
      <c r="D14" s="84" t="s">
        <v>110</v>
      </c>
      <c r="E14" s="84"/>
      <c r="G14" s="84"/>
      <c r="H14" s="84"/>
      <c r="I14" s="83"/>
      <c r="J14" s="83"/>
      <c r="K14" s="83"/>
      <c r="L14" s="84"/>
      <c r="M14" s="84"/>
      <c r="N14" s="7" t="s">
        <v>6</v>
      </c>
      <c r="O14" s="42" t="s">
        <v>124</v>
      </c>
      <c r="P14" s="84"/>
      <c r="Q14" s="6" t="s">
        <v>4</v>
      </c>
      <c r="R14" s="9"/>
      <c r="S14" s="6"/>
      <c r="T14" s="131"/>
      <c r="U14" s="131"/>
      <c r="V14" s="131"/>
      <c r="W14" s="131"/>
      <c r="X14" s="131"/>
      <c r="Y14" s="131"/>
      <c r="Z14" s="131"/>
      <c r="AA14" s="6"/>
    </row>
    <row r="15" spans="3:27" x14ac:dyDescent="0.25">
      <c r="C15" s="146"/>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5">
      <c r="C16" s="14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6"/>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5">
      <c r="C18" s="146"/>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5">
      <c r="C19" s="14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t="s">
        <v>204</v>
      </c>
      <c r="H28" s="114"/>
      <c r="I28" s="114"/>
      <c r="J28" s="114"/>
      <c r="K28" s="114"/>
      <c r="L28" s="114"/>
      <c r="P28" s="19" t="s">
        <v>0</v>
      </c>
      <c r="Q28" s="19"/>
      <c r="R28" s="19"/>
      <c r="S28" s="129">
        <v>43056</v>
      </c>
      <c r="T28" s="129"/>
      <c r="AA28" s="13"/>
    </row>
    <row r="29" spans="3:27" x14ac:dyDescent="0.25">
      <c r="C29" s="12"/>
      <c r="AA29" s="13"/>
    </row>
    <row r="30" spans="3:27" ht="13.8" thickBot="1" x14ac:dyDescent="0.3">
      <c r="C30" s="12"/>
      <c r="D30" s="6" t="s">
        <v>41</v>
      </c>
      <c r="E30" s="9"/>
      <c r="F30" s="25"/>
      <c r="G30" s="25"/>
      <c r="H30" s="113" t="str">
        <f>IF('Davinci Files'!H78:L78="","",'Davinci Files'!H78:L78)</f>
        <v>Shawn Penning</v>
      </c>
      <c r="I30" s="114"/>
      <c r="J30" s="114"/>
      <c r="K30" s="114"/>
      <c r="L30" s="114"/>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3" t="str">
        <f>IF('Davinci Files'!H80:L80="","",'Davinci Files'!H80:L80)</f>
        <v/>
      </c>
      <c r="I32" s="114"/>
      <c r="J32" s="114"/>
      <c r="K32" s="114"/>
      <c r="L32" s="114"/>
      <c r="M32" s="25"/>
      <c r="N32" s="113" t="str">
        <f>IF('Davinci Files'!N80:R80="","",'Davinci Files'!N80:R80)</f>
        <v/>
      </c>
      <c r="O32" s="114"/>
      <c r="P32" s="114"/>
      <c r="Q32" s="114"/>
      <c r="R32" s="114"/>
      <c r="S32" s="25"/>
      <c r="T32" s="113" t="str">
        <f>IF('Davinci Files'!T80:X80="","",'Davinci Files'!T80:X80)</f>
        <v/>
      </c>
      <c r="U32" s="114"/>
      <c r="V32" s="114"/>
      <c r="W32" s="114"/>
      <c r="X32" s="114"/>
      <c r="AA32" s="13"/>
    </row>
    <row r="33" spans="3:27" x14ac:dyDescent="0.25">
      <c r="C33" s="12"/>
      <c r="D33" s="84"/>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H34" s="113" t="str">
        <f>IF('Davinci Files'!H82:L82="","",'Davinci Files'!H82:L82)</f>
        <v/>
      </c>
      <c r="I34" s="114"/>
      <c r="J34" s="114"/>
      <c r="K34" s="114"/>
      <c r="L34" s="114"/>
      <c r="M34" s="25"/>
      <c r="N34" s="113" t="str">
        <f>IF('Davinci Files'!N82:R82="","",'Davinci Files'!N82:R82)</f>
        <v/>
      </c>
      <c r="O34" s="114"/>
      <c r="P34" s="114"/>
      <c r="Q34" s="114"/>
      <c r="R34" s="114"/>
      <c r="S34" s="25"/>
      <c r="T34" s="113" t="str">
        <f>IF('Davinci Files'!T82:X82="","",'Davinci Files'!T82:X82)</f>
        <v/>
      </c>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21875" customWidth="1"/>
    <col min="3" max="27" width="4.77734375" customWidth="1"/>
  </cols>
  <sheetData>
    <row r="1" spans="3:28" x14ac:dyDescent="0.25">
      <c r="X1" s="108" t="str">
        <f>'Summary Sheet (Template)'!X1:Y1</f>
        <v>Rev 1.2</v>
      </c>
      <c r="Y1" s="109"/>
      <c r="Z1" s="110">
        <f>'Summary Sheet (Template)'!Z1:AA1</f>
        <v>42163</v>
      </c>
      <c r="AA1" s="110"/>
    </row>
    <row r="2" spans="3:28" ht="23.4" thickBot="1" x14ac:dyDescent="0.45">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2" thickBot="1" x14ac:dyDescent="0.35">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6" x14ac:dyDescent="0.3">
      <c r="C36" s="141"/>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6" x14ac:dyDescent="0.3">
      <c r="C39" s="141"/>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6" x14ac:dyDescent="0.3">
      <c r="C42" s="141"/>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2" t="s">
        <v>117</v>
      </c>
      <c r="R52" s="132"/>
      <c r="S52" s="132"/>
      <c r="T52" s="132"/>
      <c r="U52" s="132"/>
      <c r="V52" s="132"/>
      <c r="W52" s="132"/>
      <c r="X52" s="132"/>
      <c r="Y52" s="132"/>
      <c r="Z52" s="132"/>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4"/>
      <c r="H125" s="114"/>
      <c r="I125" s="114"/>
      <c r="J125" s="114"/>
      <c r="K125" s="114"/>
      <c r="L125" s="114"/>
      <c r="P125" s="19" t="s">
        <v>0</v>
      </c>
      <c r="Q125" s="19"/>
      <c r="R125" s="19"/>
      <c r="S125" s="129"/>
      <c r="T125" s="129"/>
      <c r="AA125" s="13"/>
    </row>
    <row r="126" spans="3:28" x14ac:dyDescent="0.25">
      <c r="C126" s="12"/>
      <c r="AA126" s="13"/>
    </row>
    <row r="127" spans="3:28" ht="13.8" thickBot="1" x14ac:dyDescent="0.3">
      <c r="C127" s="12"/>
      <c r="D127" s="6" t="s">
        <v>41</v>
      </c>
      <c r="E127" s="9"/>
      <c r="F127" s="25"/>
      <c r="G127" s="25"/>
      <c r="H127" s="114"/>
      <c r="I127" s="114"/>
      <c r="J127" s="114"/>
      <c r="K127" s="114"/>
      <c r="L127" s="114"/>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21875" customWidth="1"/>
    <col min="3" max="27" width="4.77734375" customWidth="1"/>
  </cols>
  <sheetData>
    <row r="1" spans="3:28" x14ac:dyDescent="0.25">
      <c r="X1" s="109" t="str">
        <f>'Summary Sheet (Template)'!X1:Y1</f>
        <v>Rev 1.2</v>
      </c>
      <c r="Y1" s="109"/>
      <c r="Z1" s="110">
        <f>'Summary Sheet (Template)'!Z1:AA1</f>
        <v>42163</v>
      </c>
      <c r="AA1" s="110"/>
    </row>
    <row r="2" spans="3:28" ht="23.4" thickBot="1" x14ac:dyDescent="0.45">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35"/>
      <c r="U6" s="135"/>
      <c r="V6" s="135"/>
      <c r="W6" s="135"/>
      <c r="X6" s="135"/>
      <c r="Y6" s="135"/>
      <c r="Z6" s="135"/>
      <c r="AA6" s="6"/>
      <c r="AB6" s="3"/>
    </row>
    <row r="7" spans="3:28" ht="15.6" x14ac:dyDescent="0.3">
      <c r="C7" s="139"/>
      <c r="D7" s="22"/>
      <c r="E7" s="22"/>
      <c r="F7" s="23"/>
      <c r="G7" s="22"/>
      <c r="H7" s="22"/>
      <c r="I7" s="24"/>
      <c r="J7" s="24"/>
      <c r="K7" s="24"/>
      <c r="L7" s="22"/>
      <c r="M7" s="22"/>
      <c r="N7" s="7"/>
      <c r="O7" s="21"/>
      <c r="P7" s="22"/>
      <c r="Q7" s="136"/>
      <c r="R7" s="136"/>
      <c r="S7" s="136"/>
      <c r="T7" s="136"/>
      <c r="U7" s="136"/>
      <c r="V7" s="136"/>
      <c r="W7" s="136"/>
      <c r="X7" s="136"/>
      <c r="Y7" s="136"/>
      <c r="Z7" s="136"/>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35"/>
      <c r="U9" s="135"/>
      <c r="V9" s="135"/>
      <c r="W9" s="135"/>
      <c r="X9" s="135"/>
      <c r="Y9" s="135"/>
      <c r="Z9" s="135"/>
      <c r="AA9" s="6"/>
      <c r="AB9" s="3"/>
    </row>
    <row r="10" spans="3:28" ht="15.6" x14ac:dyDescent="0.3">
      <c r="C10" s="139"/>
      <c r="D10" s="22" t="s">
        <v>158</v>
      </c>
      <c r="E10" s="22"/>
      <c r="F10" s="23"/>
      <c r="G10" s="22"/>
      <c r="H10" s="22"/>
      <c r="I10" s="24"/>
      <c r="J10" s="24"/>
      <c r="K10" s="24"/>
      <c r="L10" s="22"/>
      <c r="M10" s="22"/>
      <c r="N10" s="7"/>
      <c r="O10" s="21"/>
      <c r="P10" s="22"/>
      <c r="Q10" s="136"/>
      <c r="R10" s="136"/>
      <c r="S10" s="136"/>
      <c r="T10" s="136"/>
      <c r="U10" s="136"/>
      <c r="V10" s="136"/>
      <c r="W10" s="136"/>
      <c r="X10" s="136"/>
      <c r="Y10" s="136"/>
      <c r="Z10" s="136"/>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35"/>
      <c r="U13" s="135"/>
      <c r="V13" s="135"/>
      <c r="W13" s="135"/>
      <c r="X13" s="135"/>
      <c r="Y13" s="135"/>
      <c r="Z13" s="135"/>
      <c r="AA13" s="6"/>
      <c r="AB13" s="3"/>
    </row>
    <row r="14" spans="3:28" ht="15.6" x14ac:dyDescent="0.3">
      <c r="C14" s="139"/>
      <c r="D14" s="22"/>
      <c r="E14" s="22" t="s">
        <v>101</v>
      </c>
      <c r="F14" s="23"/>
      <c r="G14" s="22"/>
      <c r="H14" s="22"/>
      <c r="I14" s="24"/>
      <c r="J14" s="24"/>
      <c r="K14" s="24"/>
      <c r="L14" s="22"/>
      <c r="M14" s="22"/>
      <c r="N14" s="7"/>
      <c r="O14" s="21"/>
      <c r="P14" s="22"/>
      <c r="Q14" s="136"/>
      <c r="R14" s="136"/>
      <c r="S14" s="136"/>
      <c r="T14" s="136"/>
      <c r="U14" s="136"/>
      <c r="V14" s="136"/>
      <c r="W14" s="136"/>
      <c r="X14" s="136"/>
      <c r="Y14" s="136"/>
      <c r="Z14" s="136"/>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35"/>
      <c r="U16" s="135"/>
      <c r="V16" s="135"/>
      <c r="W16" s="135"/>
      <c r="X16" s="135"/>
      <c r="Y16" s="135"/>
      <c r="Z16" s="135"/>
      <c r="AA16" s="6"/>
      <c r="AB16" s="3"/>
    </row>
    <row r="17" spans="3:28" ht="15.6" x14ac:dyDescent="0.3">
      <c r="C17" s="139"/>
      <c r="E17" s="22" t="s">
        <v>31</v>
      </c>
      <c r="F17" s="23"/>
      <c r="G17" s="22"/>
      <c r="H17" s="22"/>
      <c r="I17" s="24"/>
      <c r="J17" s="24"/>
      <c r="K17" s="24"/>
      <c r="L17" s="22"/>
      <c r="M17" s="22"/>
      <c r="N17" s="7"/>
      <c r="O17" s="21"/>
      <c r="P17" s="22"/>
      <c r="Q17" s="136"/>
      <c r="R17" s="136"/>
      <c r="S17" s="136"/>
      <c r="T17" s="136"/>
      <c r="U17" s="136"/>
      <c r="V17" s="136"/>
      <c r="W17" s="136"/>
      <c r="X17" s="136"/>
      <c r="Y17" s="136"/>
      <c r="Z17" s="136"/>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35"/>
      <c r="U22" s="135"/>
      <c r="V22" s="135"/>
      <c r="W22" s="135"/>
      <c r="X22" s="135"/>
      <c r="Y22" s="135"/>
      <c r="Z22" s="135"/>
      <c r="AA22" s="6"/>
      <c r="AB22" s="3"/>
    </row>
    <row r="23" spans="3:28" ht="15.6" x14ac:dyDescent="0.3">
      <c r="C23" s="139"/>
      <c r="D23" s="22"/>
      <c r="E23" s="22" t="s">
        <v>28</v>
      </c>
      <c r="F23" s="23"/>
      <c r="G23" s="22"/>
      <c r="H23" s="22"/>
      <c r="I23" s="24"/>
      <c r="J23" s="24"/>
      <c r="K23" s="24"/>
      <c r="L23" s="22"/>
      <c r="M23" s="22"/>
      <c r="N23" s="7"/>
      <c r="O23" s="22"/>
      <c r="P23" s="22"/>
      <c r="Q23" s="136"/>
      <c r="R23" s="136"/>
      <c r="S23" s="136"/>
      <c r="T23" s="136"/>
      <c r="U23" s="136"/>
      <c r="V23" s="136"/>
      <c r="W23" s="136"/>
      <c r="X23" s="136"/>
      <c r="Y23" s="136"/>
      <c r="Z23" s="136"/>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74"/>
      <c r="AB69" s="3"/>
    </row>
    <row r="70" spans="3:28" ht="15.6" x14ac:dyDescent="0.3">
      <c r="D70" s="138"/>
      <c r="E70" s="138"/>
      <c r="F70" s="138"/>
      <c r="G70" s="138"/>
      <c r="H70" s="138"/>
      <c r="I70" s="138"/>
      <c r="J70" s="138"/>
      <c r="K70" s="138"/>
      <c r="L70" s="138"/>
      <c r="M70" s="138"/>
      <c r="N70" s="138"/>
      <c r="O70" s="138"/>
      <c r="P70" s="138"/>
      <c r="Q70" s="138"/>
      <c r="R70" s="138"/>
      <c r="S70" s="138"/>
      <c r="T70" s="138"/>
      <c r="U70" s="138"/>
      <c r="V70" s="138"/>
      <c r="W70" s="138"/>
      <c r="X70" s="138"/>
      <c r="Y70" s="138"/>
      <c r="Z70" s="138"/>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4"/>
      <c r="H76" s="114"/>
      <c r="I76" s="114"/>
      <c r="J76" s="114"/>
      <c r="K76" s="114"/>
      <c r="L76" s="114"/>
      <c r="N76" s="19" t="s">
        <v>0</v>
      </c>
      <c r="Q76" s="129"/>
      <c r="R76" s="129"/>
      <c r="T76" s="74" t="s">
        <v>102</v>
      </c>
      <c r="X76" s="129"/>
      <c r="Y76" s="129"/>
      <c r="AA76" s="13"/>
    </row>
    <row r="77" spans="3:28" x14ac:dyDescent="0.25">
      <c r="C77" s="12"/>
      <c r="AA77" s="13"/>
    </row>
    <row r="78" spans="3:28" ht="13.8" thickBot="1" x14ac:dyDescent="0.3">
      <c r="C78" s="12"/>
      <c r="D78" s="6" t="s">
        <v>41</v>
      </c>
      <c r="E78" s="9"/>
      <c r="F78" s="25"/>
      <c r="G78" s="25"/>
      <c r="H78" s="114"/>
      <c r="I78" s="114"/>
      <c r="J78" s="114"/>
      <c r="K78" s="114"/>
      <c r="L78" s="114"/>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21875" customWidth="1"/>
    <col min="3" max="27" width="4.77734375" customWidth="1"/>
  </cols>
  <sheetData>
    <row r="1" spans="3:28" x14ac:dyDescent="0.25">
      <c r="X1" s="109" t="str">
        <f>'Summary Sheet (Template)'!X1:Y1</f>
        <v>Rev 1.2</v>
      </c>
      <c r="Y1" s="109"/>
      <c r="Z1" s="110">
        <f>'Summary Sheet (Template)'!Z1:AA1</f>
        <v>42163</v>
      </c>
      <c r="AA1" s="110"/>
    </row>
    <row r="2" spans="3:28" ht="23.4" thickBot="1" x14ac:dyDescent="0.45">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3"/>
      <c r="Z4" s="113"/>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3"/>
      <c r="Z6" s="113"/>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3"/>
      <c r="Z7" s="113"/>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3"/>
      <c r="Z8" s="113"/>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6" x14ac:dyDescent="0.3">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6" x14ac:dyDescent="0.3">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6"/>
      <c r="R28" s="136"/>
      <c r="S28" s="136"/>
      <c r="T28" s="136"/>
      <c r="U28" s="136"/>
      <c r="V28" s="136"/>
      <c r="W28" s="136"/>
      <c r="X28" s="136"/>
      <c r="Y28" s="136"/>
      <c r="Z28" s="136"/>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6"/>
      <c r="R32" s="136"/>
      <c r="S32" s="136"/>
      <c r="T32" s="136"/>
      <c r="U32" s="136"/>
      <c r="V32" s="136"/>
      <c r="W32" s="136"/>
      <c r="X32" s="136"/>
      <c r="Y32" s="136"/>
      <c r="Z32" s="136"/>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6"/>
      <c r="R35" s="136"/>
      <c r="S35" s="136"/>
      <c r="T35" s="136"/>
      <c r="U35" s="136"/>
      <c r="V35" s="136"/>
      <c r="W35" s="136"/>
      <c r="X35" s="136"/>
      <c r="Y35" s="136"/>
      <c r="Z35" s="136"/>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4"/>
      <c r="H45" s="114"/>
      <c r="I45" s="114"/>
      <c r="J45" s="114"/>
      <c r="K45" s="114"/>
      <c r="L45" s="114"/>
      <c r="P45" s="19" t="s">
        <v>0</v>
      </c>
      <c r="Q45" s="19"/>
      <c r="R45" s="19"/>
      <c r="S45" s="129"/>
      <c r="T45" s="129"/>
      <c r="AA45" s="13"/>
    </row>
    <row r="46" spans="3:28" x14ac:dyDescent="0.25">
      <c r="C46" s="12"/>
      <c r="AA46" s="13"/>
    </row>
    <row r="47" spans="3:28" ht="13.8" thickBot="1" x14ac:dyDescent="0.3">
      <c r="C47" s="12"/>
      <c r="D47" s="6" t="s">
        <v>41</v>
      </c>
      <c r="E47" s="9"/>
      <c r="F47" s="25"/>
      <c r="G47" s="25"/>
      <c r="H47" s="114"/>
      <c r="I47" s="114"/>
      <c r="J47" s="114"/>
      <c r="K47" s="114"/>
      <c r="L47" s="114"/>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21875" customWidth="1"/>
    <col min="3" max="27" width="4.77734375" customWidth="1"/>
  </cols>
  <sheetData>
    <row r="1" spans="3:28" x14ac:dyDescent="0.25">
      <c r="X1" s="108" t="str">
        <f>'Summary Sheet (Template)'!X1:Y1</f>
        <v>Rev 1.2</v>
      </c>
      <c r="Y1" s="109"/>
      <c r="Z1" s="110">
        <f>'Summary Sheet (Template)'!Z1:AA1</f>
        <v>42163</v>
      </c>
      <c r="AA1" s="110"/>
    </row>
    <row r="2" spans="3:28" ht="23.4" thickBot="1" x14ac:dyDescent="0.45">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3"/>
      <c r="Z4" s="113"/>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3"/>
      <c r="Z5" s="113"/>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3"/>
      <c r="Z6" s="113"/>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2" thickBot="1" x14ac:dyDescent="0.35">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0" t="s">
        <v>5</v>
      </c>
      <c r="R13" s="6"/>
      <c r="S13" s="6"/>
      <c r="T13" s="6"/>
      <c r="U13" s="6"/>
      <c r="V13" s="6"/>
      <c r="W13" s="6"/>
      <c r="X13" s="6"/>
      <c r="Y13" s="6"/>
      <c r="Z13" s="6"/>
      <c r="AA13" s="6"/>
      <c r="AB13" s="3"/>
    </row>
    <row r="14" spans="3:28" ht="15.6" x14ac:dyDescent="0.3">
      <c r="C14" s="101"/>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1"/>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6" x14ac:dyDescent="0.3">
      <c r="C16" s="101"/>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6" x14ac:dyDescent="0.3">
      <c r="C17" s="101"/>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1"/>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6" x14ac:dyDescent="0.3">
      <c r="C19" s="101"/>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6" x14ac:dyDescent="0.3">
      <c r="C20" s="101"/>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6" x14ac:dyDescent="0.3">
      <c r="C21" s="101"/>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6" x14ac:dyDescent="0.3">
      <c r="C22" s="101"/>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3">
      <c r="C23" s="101"/>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1"/>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6" x14ac:dyDescent="0.3">
      <c r="C25" s="101"/>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6" x14ac:dyDescent="0.3">
      <c r="C26" s="101"/>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1"/>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6" x14ac:dyDescent="0.3">
      <c r="C28" s="101"/>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6" x14ac:dyDescent="0.3">
      <c r="C29" s="101"/>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4"/>
      <c r="H41" s="114"/>
      <c r="I41" s="114"/>
      <c r="J41" s="114"/>
      <c r="K41" s="114"/>
      <c r="L41" s="114"/>
      <c r="P41" s="19" t="s">
        <v>0</v>
      </c>
      <c r="Q41" s="19"/>
      <c r="R41" s="19"/>
      <c r="S41" s="129"/>
      <c r="T41" s="129"/>
      <c r="AA41" s="13"/>
    </row>
    <row r="42" spans="3:28" x14ac:dyDescent="0.25">
      <c r="C42" s="12"/>
      <c r="AA42" s="13"/>
    </row>
    <row r="43" spans="3:28" ht="13.8" thickBot="1" x14ac:dyDescent="0.3">
      <c r="C43" s="12"/>
      <c r="D43" s="6" t="s">
        <v>41</v>
      </c>
      <c r="E43" s="9"/>
      <c r="F43" s="25"/>
      <c r="G43" s="25"/>
      <c r="H43" s="114"/>
      <c r="I43" s="114"/>
      <c r="J43" s="114"/>
      <c r="K43" s="114"/>
      <c r="L43" s="114"/>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21875" customWidth="1"/>
    <col min="3" max="27" width="4.77734375" customWidth="1"/>
  </cols>
  <sheetData>
    <row r="1" spans="3:28" x14ac:dyDescent="0.25">
      <c r="X1" s="109" t="str">
        <f>'Summary Sheet (Template)'!X1:Y1</f>
        <v>Rev 1.2</v>
      </c>
      <c r="Y1" s="109"/>
      <c r="Z1" s="110">
        <f>'Summary Sheet (Template)'!Z1:AA1</f>
        <v>42163</v>
      </c>
      <c r="AA1" s="110"/>
    </row>
    <row r="2" spans="3:28" ht="23.4" thickBot="1" x14ac:dyDescent="0.45">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6" x14ac:dyDescent="0.3">
      <c r="C9" s="145"/>
      <c r="D9" s="2"/>
      <c r="E9" s="2"/>
      <c r="G9" s="2"/>
      <c r="H9" s="2"/>
      <c r="I9" s="5"/>
      <c r="J9" s="5"/>
      <c r="K9" s="5"/>
      <c r="L9" s="2"/>
      <c r="M9" s="2"/>
      <c r="N9" s="7"/>
      <c r="O9" s="2"/>
      <c r="P9" s="2"/>
      <c r="Q9" s="132"/>
      <c r="R9" s="132"/>
      <c r="S9" s="132"/>
      <c r="T9" s="132"/>
      <c r="U9" s="132"/>
      <c r="V9" s="132"/>
      <c r="W9" s="132"/>
      <c r="X9" s="132"/>
      <c r="Y9" s="132"/>
      <c r="Z9" s="132"/>
      <c r="AA9" s="6"/>
      <c r="AB9" s="3"/>
    </row>
    <row r="10" spans="3:28" ht="15.6" x14ac:dyDescent="0.3">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6" x14ac:dyDescent="0.3">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6" x14ac:dyDescent="0.3">
      <c r="C13" s="145"/>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6" x14ac:dyDescent="0.3">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6" x14ac:dyDescent="0.3">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6" x14ac:dyDescent="0.3">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6" x14ac:dyDescent="0.3">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4"/>
      <c r="H28" s="114"/>
      <c r="I28" s="114"/>
      <c r="J28" s="114"/>
      <c r="K28" s="114"/>
      <c r="L28" s="114"/>
      <c r="P28" s="19" t="s">
        <v>0</v>
      </c>
      <c r="Q28" s="19"/>
      <c r="R28" s="19"/>
      <c r="S28" s="129"/>
      <c r="T28" s="129"/>
      <c r="AA28" s="13"/>
    </row>
    <row r="29" spans="3:28" x14ac:dyDescent="0.25">
      <c r="C29" s="12"/>
      <c r="AA29" s="13"/>
    </row>
    <row r="30" spans="3:28" ht="13.8" thickBot="1" x14ac:dyDescent="0.3">
      <c r="C30" s="12"/>
      <c r="D30" s="6" t="s">
        <v>41</v>
      </c>
      <c r="E30" s="9"/>
      <c r="F30" s="25"/>
      <c r="G30" s="25"/>
      <c r="H30" s="114"/>
      <c r="I30" s="114"/>
      <c r="J30" s="114"/>
      <c r="K30" s="114"/>
      <c r="L30" s="114"/>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21875" customWidth="1"/>
    <col min="5" max="5" width="59.44140625" bestFit="1" customWidth="1"/>
    <col min="6" max="6" width="29.2187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21875" style="11"/>
    <col min="2" max="2" width="63.5546875" customWidth="1"/>
    <col min="3" max="3" width="10.218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77734375" customWidth="1"/>
  </cols>
  <sheetData>
    <row r="3" spans="3:27" ht="23.4" thickBot="1" x14ac:dyDescent="0.45">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0"/>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5">
      <c r="C10" s="130"/>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5">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0"/>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5">
      <c r="C13" s="130"/>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5">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0"/>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5">
      <c r="C16" s="130"/>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5">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0"/>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5">
      <c r="C19" s="130"/>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5">
      <c r="C20" s="13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4"/>
      <c r="H29" s="114"/>
      <c r="I29" s="114"/>
      <c r="J29" s="114"/>
      <c r="K29" s="114"/>
      <c r="L29" s="114"/>
      <c r="P29" s="19" t="s">
        <v>0</v>
      </c>
      <c r="Q29" s="19"/>
      <c r="R29" s="19"/>
      <c r="S29" s="129"/>
      <c r="T29" s="129"/>
      <c r="AA29" s="13"/>
    </row>
    <row r="30" spans="3:27" x14ac:dyDescent="0.25">
      <c r="C30" s="12"/>
      <c r="AA30" s="13"/>
    </row>
    <row r="31" spans="3:27" ht="13.8" thickBot="1" x14ac:dyDescent="0.3">
      <c r="C31" s="12"/>
      <c r="D31" s="6" t="s">
        <v>41</v>
      </c>
      <c r="E31" s="9"/>
      <c r="F31" s="25"/>
      <c r="G31" s="25"/>
      <c r="H31" s="114"/>
      <c r="I31" s="114"/>
      <c r="J31" s="114"/>
      <c r="K31" s="114"/>
      <c r="L31" s="114"/>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77734375" customWidth="1"/>
  </cols>
  <sheetData>
    <row r="3" spans="3:27" ht="23.4" thickBot="1" x14ac:dyDescent="0.45">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6"/>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5">
      <c r="C9" s="146"/>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5">
      <c r="C10" s="14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6"/>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5">
      <c r="C12" s="146"/>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5">
      <c r="C13" s="14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6"/>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5">
      <c r="C15" s="146"/>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5">
      <c r="C16" s="14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6"/>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5">
      <c r="C18" s="146"/>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5">
      <c r="C19" s="14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4"/>
      <c r="H28" s="114"/>
      <c r="I28" s="114"/>
      <c r="J28" s="114"/>
      <c r="K28" s="114"/>
      <c r="L28" s="114"/>
      <c r="P28" s="19" t="s">
        <v>0</v>
      </c>
      <c r="Q28" s="19"/>
      <c r="R28" s="19"/>
      <c r="S28" s="129"/>
      <c r="T28" s="129"/>
      <c r="AA28" s="13"/>
    </row>
    <row r="29" spans="3:27" x14ac:dyDescent="0.25">
      <c r="C29" s="12"/>
      <c r="AA29" s="13"/>
    </row>
    <row r="30" spans="3:27" ht="13.8" thickBot="1" x14ac:dyDescent="0.3">
      <c r="C30" s="12"/>
      <c r="D30" s="6" t="s">
        <v>41</v>
      </c>
      <c r="E30" s="9"/>
      <c r="F30" s="25"/>
      <c r="G30" s="25"/>
      <c r="H30" s="114"/>
      <c r="I30" s="114"/>
      <c r="J30" s="114"/>
      <c r="K30" s="114"/>
      <c r="L30" s="114"/>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StdDef</vt:lpstr>
      <vt:lpstr>Davinci Files</vt:lpstr>
      <vt:lpstr>Source Code</vt:lpstr>
      <vt:lpstr>PolySpace</vt:lpstr>
      <vt:lpstr>MDD</vt:lpstr>
      <vt:lpstr>Integration Manual</vt:lpstr>
      <vt:lpstr>Synergy Project</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2018-03-10T19:55:35Z</dcterms:modified>
</cp:coreProperties>
</file>