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615" windowWidth="10290" windowHeight="7230"/>
  </bookViews>
  <sheets>
    <sheet name="Program Definition" sheetId="1" r:id="rId1"/>
    <sheet name="Overrides" sheetId="2" r:id="rId2"/>
    <sheet name="Base Data" sheetId="3" state="hidden" r:id="rId3"/>
  </sheets>
  <functionGroups builtInGroupCount="17"/>
  <definedNames>
    <definedName name="AllocationSize">'Program Definition'!$B$9</definedName>
    <definedName name="Customer">'Program Definition'!$B$1</definedName>
    <definedName name="IninCardinality">'Program Definition'!$B$7</definedName>
    <definedName name="Program">'Program Definition'!$B$2</definedName>
    <definedName name="RAMSize">'Program Definition'!$B$13</definedName>
    <definedName name="Reviewed">'Program Definition'!$B$4</definedName>
    <definedName name="RtCardinality">'Program Definition'!$B$6</definedName>
  </definedNames>
  <calcPr calcId="145621"/>
</workbook>
</file>

<file path=xl/calcChain.xml><?xml version="1.0" encoding="utf-8"?>
<calcChain xmlns="http://schemas.openxmlformats.org/spreadsheetml/2006/main">
  <c r="C18" i="1" l="1"/>
  <c r="C17" i="1"/>
  <c r="C16" i="1"/>
  <c r="C15" i="1"/>
  <c r="K4" i="2" l="1"/>
  <c r="K2" i="2" l="1"/>
  <c r="C10" i="1" s="1"/>
  <c r="E10" i="1" s="1"/>
  <c r="K3" i="2"/>
  <c r="C12" i="1"/>
  <c r="E12" i="1" s="1"/>
  <c r="C11" i="1" l="1"/>
  <c r="E11" i="1" s="1"/>
  <c r="C13" i="1" l="1"/>
  <c r="E13" i="1" s="1"/>
</calcChain>
</file>

<file path=xl/comments1.xml><?xml version="1.0" encoding="utf-8"?>
<comments xmlns="http://schemas.openxmlformats.org/spreadsheetml/2006/main">
  <authors>
    <author>Smith, Terrence D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Enter comma seperated list of selector values. (i.e. 10, 20, 30 )</t>
        </r>
      </text>
    </comment>
  </commentList>
</comments>
</file>

<file path=xl/sharedStrings.xml><?xml version="1.0" encoding="utf-8"?>
<sst xmlns="http://schemas.openxmlformats.org/spreadsheetml/2006/main" count="37" uniqueCount="30">
  <si>
    <t>Calibration Base Name</t>
  </si>
  <si>
    <t>Configuration</t>
  </si>
  <si>
    <t>Online Group</t>
  </si>
  <si>
    <t>Impact</t>
  </si>
  <si>
    <t>Customer Visible</t>
  </si>
  <si>
    <t>Tuning Owner</t>
  </si>
  <si>
    <t>Safety Rating</t>
  </si>
  <si>
    <t>Size</t>
  </si>
  <si>
    <t>Customer</t>
  </si>
  <si>
    <t>Program</t>
  </si>
  <si>
    <t>Runtime Cardinality</t>
  </si>
  <si>
    <t>Initalization Cardinality</t>
  </si>
  <si>
    <t>Bytes</t>
  </si>
  <si>
    <t>Allocated</t>
  </si>
  <si>
    <t>Required Memory</t>
  </si>
  <si>
    <t>A</t>
  </si>
  <si>
    <t>B</t>
  </si>
  <si>
    <t>On-Line Segment(s)</t>
  </si>
  <si>
    <t>C</t>
  </si>
  <si>
    <t>D</t>
  </si>
  <si>
    <t>On-Line (RAM)</t>
  </si>
  <si>
    <t>Reviewed By</t>
  </si>
  <si>
    <t>Used</t>
  </si>
  <si>
    <t>Calibration Regions</t>
  </si>
  <si>
    <t>01</t>
  </si>
  <si>
    <t>02</t>
  </si>
  <si>
    <t>03</t>
  </si>
  <si>
    <t>Cal Region</t>
  </si>
  <si>
    <t>OnLine</t>
  </si>
  <si>
    <t>Selectors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</si>
</sst>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17">
    <xf numFmtId="0" fontId="0" fillId="0" borderId="0" xfId="0"/>
    <xf numFmtId="0" fontId="0" fillId="0" borderId="0" xfId="0" applyAlignment="1">
      <alignment wrapText="1"/>
    </xf>
    <xf numFmtId="0" fontId="2" fillId="3" borderId="1" xfId="2"/>
    <xf numFmtId="0" fontId="1" fillId="2" borderId="1" xfId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9" fontId="2" fillId="3" borderId="1" xfId="2" applyNumberFormat="1" applyAlignment="1">
      <alignment horizontal="center"/>
    </xf>
    <xf numFmtId="0" fontId="0" fillId="0" borderId="0" xfId="0" applyNumberFormat="1"/>
    <xf numFmtId="0" fontId="0" fillId="0" borderId="0" xfId="0" applyProtection="1">
      <protection locked="0"/>
    </xf>
    <xf numFmtId="49" fontId="0" fillId="0" borderId="0" xfId="0" applyNumberFormat="1" applyAlignment="1">
      <alignment horizontal="center"/>
    </xf>
    <xf numFmtId="49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hidden="1"/>
    </xf>
    <xf numFmtId="0" fontId="0" fillId="0" borderId="0" xfId="0" applyProtection="1">
      <protection hidden="1"/>
    </xf>
    <xf numFmtId="49" fontId="1" fillId="2" borderId="1" xfId="1" applyNumberFormat="1" applyAlignment="1" applyProtection="1">
      <alignment horizontal="left"/>
      <protection locked="0"/>
    </xf>
    <xf numFmtId="0" fontId="1" fillId="2" borderId="2" xfId="1" applyBorder="1" applyAlignment="1" applyProtection="1">
      <alignment horizontal="left"/>
      <protection locked="0"/>
    </xf>
    <xf numFmtId="0" fontId="1" fillId="2" borderId="3" xfId="1" applyBorder="1" applyAlignment="1" applyProtection="1">
      <alignment horizontal="left"/>
      <protection locked="0"/>
    </xf>
    <xf numFmtId="0" fontId="1" fillId="2" borderId="4" xfId="1" applyBorder="1" applyAlignment="1" applyProtection="1">
      <alignment horizontal="left"/>
      <protection locked="0"/>
    </xf>
  </cellXfs>
  <cellStyles count="3">
    <cellStyle name="Calculation" xfId="2" builtinId="22"/>
    <cellStyle name="Input" xfId="1" builtinId="20"/>
    <cellStyle name="Normal" xfId="0" builtinId="0"/>
  </cellStyles>
  <dxfs count="15">
    <dxf>
      <numFmt numFmtId="0" formatCode="General"/>
    </dxf>
    <dxf>
      <protection locked="1" hidden="1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0" formatCode="@"/>
      <protection locked="0" hidden="0"/>
    </dxf>
    <dxf>
      <alignment horizontal="general" vertical="bottom" textRotation="0" wrapText="1" indent="0" justifyLastLine="0" shrinkToFit="0" readingOrder="0"/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1</xdr:row>
          <xdr:rowOff>38100</xdr:rowOff>
        </xdr:from>
        <xdr:to>
          <xdr:col>7</xdr:col>
          <xdr:colOff>552450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Overrides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5</xdr:row>
          <xdr:rowOff>38100</xdr:rowOff>
        </xdr:from>
        <xdr:to>
          <xdr:col>7</xdr:col>
          <xdr:colOff>552450</xdr:colOff>
          <xdr:row>7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Overrides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Override_Data" displayName="Override_Data" ref="A1:K4" totalsRowShown="0" headerRowDxfId="9">
  <autoFilter ref="A1:K4"/>
  <tableColumns count="11">
    <tableColumn id="1" name="Calibration Base Name"/>
    <tableColumn id="2" name="Cal Region" dataDxfId="8"/>
    <tableColumn id="3" name="Configuration" dataDxfId="7"/>
    <tableColumn id="4" name="Online Group" dataDxfId="6"/>
    <tableColumn id="5" name="Impact" dataDxfId="5"/>
    <tableColumn id="6" name="Customer Visible" dataDxfId="4"/>
    <tableColumn id="7" name="Tuning Owner" dataDxfId="3"/>
    <tableColumn id="8" name="Safety Rating" dataDxfId="2"/>
    <tableColumn id="11" name="OnLine" dataDxfId="1"/>
    <tableColumn id="9" name="Size"/>
    <tableColumn id="10" name="Required Memory" dataDxfId="0">
      <calculatedColumnFormula>IF(Override_Data[[#This Row],[Configuration]]="Init",Override_Data[[#This Row],[Size]]*'Program Definition'!$B$7,IF(Override_Data[[#This Row],[Configuration]]="Runtime",Override_Data[[#This Row],[Size]]*'Program Definition'!$B$6,Override_Data[[#This Row],[Size]]))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8"/>
  <sheetViews>
    <sheetView tabSelected="1" workbookViewId="0">
      <selection activeCell="B1" sqref="B1:E1"/>
    </sheetView>
  </sheetViews>
  <sheetFormatPr defaultRowHeight="15" x14ac:dyDescent="0.25"/>
  <cols>
    <col min="1" max="1" width="22" bestFit="1" customWidth="1"/>
    <col min="2" max="4" width="9.140625" customWidth="1"/>
    <col min="6" max="10" width="9.140625" customWidth="1"/>
  </cols>
  <sheetData>
    <row r="1" spans="1:9" x14ac:dyDescent="0.25">
      <c r="A1" t="s">
        <v>8</v>
      </c>
      <c r="B1" s="13"/>
      <c r="C1" s="13"/>
      <c r="D1" s="13"/>
      <c r="E1" s="13"/>
      <c r="F1" s="1"/>
      <c r="G1" s="1"/>
      <c r="H1" s="1"/>
      <c r="I1" s="1"/>
    </row>
    <row r="2" spans="1:9" x14ac:dyDescent="0.25">
      <c r="A2" t="s">
        <v>9</v>
      </c>
      <c r="B2" s="13"/>
      <c r="C2" s="13"/>
      <c r="D2" s="13"/>
      <c r="E2" s="13"/>
    </row>
    <row r="4" spans="1:9" x14ac:dyDescent="0.25">
      <c r="A4" t="s">
        <v>21</v>
      </c>
      <c r="B4" s="14"/>
      <c r="C4" s="15"/>
      <c r="D4" s="15"/>
      <c r="E4" s="16"/>
    </row>
    <row r="6" spans="1:9" x14ac:dyDescent="0.25">
      <c r="A6" t="s">
        <v>10</v>
      </c>
      <c r="B6" s="3"/>
      <c r="C6" t="s">
        <v>29</v>
      </c>
      <c r="D6" s="3"/>
    </row>
    <row r="7" spans="1:9" x14ac:dyDescent="0.25">
      <c r="A7" t="s">
        <v>11</v>
      </c>
      <c r="B7" s="3"/>
    </row>
    <row r="9" spans="1:9" x14ac:dyDescent="0.25">
      <c r="A9" t="s">
        <v>23</v>
      </c>
      <c r="B9" s="5" t="s">
        <v>13</v>
      </c>
      <c r="C9" s="5" t="s">
        <v>22</v>
      </c>
      <c r="E9" s="4"/>
    </row>
    <row r="10" spans="1:9" x14ac:dyDescent="0.25">
      <c r="A10" s="9" t="s">
        <v>24</v>
      </c>
      <c r="B10" s="3"/>
      <c r="C10" s="2">
        <f>SUMIF(Override_Data[Cal Region],A10,Override_Data[Required Memory])</f>
        <v>0</v>
      </c>
      <c r="D10" t="s">
        <v>12</v>
      </c>
      <c r="E10" s="6" t="str">
        <f>IF(B10&gt;0,C10/B10,"")</f>
        <v/>
      </c>
    </row>
    <row r="11" spans="1:9" x14ac:dyDescent="0.25">
      <c r="A11" s="9" t="s">
        <v>25</v>
      </c>
      <c r="B11" s="3"/>
      <c r="C11" s="2">
        <f>SUMIF(Override_Data[Cal Region],A11,Override_Data[Required Memory])</f>
        <v>0</v>
      </c>
      <c r="D11" t="s">
        <v>12</v>
      </c>
      <c r="E11" s="6" t="str">
        <f>IF(B11&gt;0,C11/B11,"")</f>
        <v/>
      </c>
    </row>
    <row r="12" spans="1:9" x14ac:dyDescent="0.25">
      <c r="A12" s="9" t="s">
        <v>26</v>
      </c>
      <c r="B12" s="3"/>
      <c r="C12" s="2">
        <f>SUMIF(Override_Data[Cal Region],A12,Override_Data[Required Memory])</f>
        <v>0</v>
      </c>
      <c r="D12" t="s">
        <v>12</v>
      </c>
      <c r="E12" s="6" t="str">
        <f>IF(B12&gt;0,C12/B12,"")</f>
        <v/>
      </c>
    </row>
    <row r="13" spans="1:9" x14ac:dyDescent="0.25">
      <c r="A13" t="s">
        <v>20</v>
      </c>
      <c r="B13" s="3"/>
      <c r="C13" s="2">
        <f>MAX(C15:C18)</f>
        <v>0</v>
      </c>
      <c r="D13" t="s">
        <v>12</v>
      </c>
      <c r="E13" s="6" t="str">
        <f>IF(B13&gt;0,C13/B13,"")</f>
        <v/>
      </c>
    </row>
    <row r="15" spans="1:9" x14ac:dyDescent="0.25">
      <c r="A15" t="s">
        <v>17</v>
      </c>
      <c r="B15" s="4" t="s">
        <v>15</v>
      </c>
      <c r="C15" s="2">
        <f>SUMIF(Override_Data[Online Group],B15,Override_Data[Size])</f>
        <v>0</v>
      </c>
      <c r="D15" t="s">
        <v>12</v>
      </c>
    </row>
    <row r="16" spans="1:9" x14ac:dyDescent="0.25">
      <c r="B16" s="4" t="s">
        <v>16</v>
      </c>
      <c r="C16" s="2">
        <f>SUMIF(Override_Data[Online Group],B16,Override_Data[Size])</f>
        <v>0</v>
      </c>
      <c r="D16" t="s">
        <v>12</v>
      </c>
    </row>
    <row r="17" spans="2:4" x14ac:dyDescent="0.25">
      <c r="B17" s="4" t="s">
        <v>18</v>
      </c>
      <c r="C17" s="2">
        <f>SUMIF(Override_Data[Online Group],B17,Override_Data[Size])</f>
        <v>0</v>
      </c>
      <c r="D17" t="s">
        <v>12</v>
      </c>
    </row>
    <row r="18" spans="2:4" x14ac:dyDescent="0.25">
      <c r="B18" s="4" t="s">
        <v>19</v>
      </c>
      <c r="C18" s="2">
        <f>SUMIF(Override_Data[Online Group],B18,Override_Data[Size])</f>
        <v>0</v>
      </c>
      <c r="D18" t="s">
        <v>12</v>
      </c>
    </row>
  </sheetData>
  <mergeCells count="3">
    <mergeCell ref="B1:E1"/>
    <mergeCell ref="B2:E2"/>
    <mergeCell ref="B4:E4"/>
  </mergeCells>
  <conditionalFormatting sqref="C10">
    <cfRule type="cellIs" dxfId="14" priority="4" operator="greaterThan">
      <formula>$B10</formula>
    </cfRule>
  </conditionalFormatting>
  <conditionalFormatting sqref="C11">
    <cfRule type="cellIs" dxfId="13" priority="3" operator="greaterThan">
      <formula>$B11</formula>
    </cfRule>
  </conditionalFormatting>
  <conditionalFormatting sqref="C12">
    <cfRule type="cellIs" dxfId="12" priority="2" operator="greaterThan">
      <formula>$B12</formula>
    </cfRule>
  </conditionalFormatting>
  <conditionalFormatting sqref="C13">
    <cfRule type="cellIs" dxfId="11" priority="1" operator="greaterThan">
      <formula>$B13</formula>
    </cfRule>
  </conditionalFormatting>
  <pageMargins left="0.7" right="0.7" top="0.75" bottom="0.75" header="0.3" footer="0.3"/>
  <pageSetup orientation="portrait" r:id="rId1"/>
  <ignoredErrors>
    <ignoredError sqref="A10:A1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ImportXML" altText="Import Override File">
                <anchor moveWithCells="1" sizeWithCells="1">
                  <from>
                    <xdr:col>6</xdr:col>
                    <xdr:colOff>47625</xdr:colOff>
                    <xdr:row>1</xdr:row>
                    <xdr:rowOff>38100</xdr:rowOff>
                  </from>
                  <to>
                    <xdr:col>7</xdr:col>
                    <xdr:colOff>552450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ExportXML" altText="Import Override File">
                <anchor moveWithCells="1" sizeWithCells="1">
                  <from>
                    <xdr:col>6</xdr:col>
                    <xdr:colOff>47625</xdr:colOff>
                    <xdr:row>5</xdr:row>
                    <xdr:rowOff>38100</xdr:rowOff>
                  </from>
                  <to>
                    <xdr:col>7</xdr:col>
                    <xdr:colOff>552450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42"/>
  <sheetViews>
    <sheetView workbookViewId="0">
      <selection activeCell="A2" sqref="A2"/>
    </sheetView>
  </sheetViews>
  <sheetFormatPr defaultRowHeight="15" x14ac:dyDescent="0.25"/>
  <cols>
    <col min="1" max="1" width="50.7109375" customWidth="1"/>
    <col min="2" max="2" width="12.140625" customWidth="1"/>
    <col min="3" max="3" width="15.5703125" bestFit="1" customWidth="1"/>
    <col min="4" max="5" width="9.28515625" bestFit="1" customWidth="1"/>
    <col min="6" max="6" width="11.140625" bestFit="1" customWidth="1"/>
    <col min="7" max="7" width="9.28515625" bestFit="1" customWidth="1"/>
    <col min="8" max="8" width="8.85546875" bestFit="1" customWidth="1"/>
    <col min="9" max="9" width="8.85546875" style="12" hidden="1" customWidth="1"/>
    <col min="10" max="10" width="6.85546875" bestFit="1" customWidth="1"/>
    <col min="11" max="11" width="11.42578125" bestFit="1" customWidth="1"/>
  </cols>
  <sheetData>
    <row r="1" spans="1:11" ht="30" x14ac:dyDescent="0.25">
      <c r="A1" s="1" t="s">
        <v>0</v>
      </c>
      <c r="B1" s="1" t="s">
        <v>27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1" t="s">
        <v>28</v>
      </c>
      <c r="J1" s="1" t="s">
        <v>7</v>
      </c>
      <c r="K1" s="1" t="s">
        <v>14</v>
      </c>
    </row>
    <row r="2" spans="1:11" x14ac:dyDescent="0.25">
      <c r="B2" s="10"/>
      <c r="C2" s="8"/>
      <c r="D2" s="8"/>
      <c r="E2" s="8"/>
      <c r="F2" s="8"/>
      <c r="G2" s="8"/>
      <c r="H2" s="8"/>
      <c r="K2">
        <f>IF(Override_Data[[#This Row],[Configuration]]="Init",Override_Data[[#This Row],[Size]]*'Program Definition'!$B$7,IF(Override_Data[[#This Row],[Configuration]]="Runtime",Override_Data[[#This Row],[Size]]*'Program Definition'!$B$6,Override_Data[[#This Row],[Size]]))</f>
        <v>0</v>
      </c>
    </row>
    <row r="3" spans="1:11" x14ac:dyDescent="0.25">
      <c r="B3" s="10"/>
      <c r="C3" s="8"/>
      <c r="D3" s="8"/>
      <c r="E3" s="8"/>
      <c r="F3" s="8"/>
      <c r="G3" s="8"/>
      <c r="H3" s="8"/>
      <c r="K3">
        <f>IF(Override_Data[[#This Row],[Configuration]]="Init",Override_Data[[#This Row],[Size]]*'Program Definition'!$B$7,IF(Override_Data[[#This Row],[Configuration]]="Runtime",Override_Data[[#This Row],[Size]]*'Program Definition'!$B$6,Override_Data[[#This Row],[Size]]))</f>
        <v>0</v>
      </c>
    </row>
    <row r="4" spans="1:11" x14ac:dyDescent="0.25">
      <c r="B4" s="10"/>
      <c r="C4" s="8"/>
      <c r="D4" s="8"/>
      <c r="E4" s="8"/>
      <c r="F4" s="8"/>
      <c r="G4" s="8"/>
      <c r="H4" s="8"/>
      <c r="K4" s="7">
        <f>IF(Override_Data[[#This Row],[Configuration]]="Init",Override_Data[[#This Row],[Size]]*'Program Definition'!$B$7,IF(Override_Data[[#This Row],[Configuration]]="Runtime",Override_Data[[#This Row],[Size]]*'Program Definition'!$B$6,Override_Data[[#This Row],[Size]]))</f>
        <v>0</v>
      </c>
    </row>
    <row r="5" spans="1:11" x14ac:dyDescent="0.25">
      <c r="K5" s="7"/>
    </row>
    <row r="6" spans="1:11" x14ac:dyDescent="0.25">
      <c r="K6" s="7"/>
    </row>
    <row r="7" spans="1:11" x14ac:dyDescent="0.25">
      <c r="K7" s="7"/>
    </row>
    <row r="8" spans="1:11" x14ac:dyDescent="0.25">
      <c r="K8" s="7"/>
    </row>
    <row r="9" spans="1:11" x14ac:dyDescent="0.25">
      <c r="K9" s="7"/>
    </row>
    <row r="10" spans="1:11" x14ac:dyDescent="0.25">
      <c r="K10" s="7"/>
    </row>
    <row r="11" spans="1:11" x14ac:dyDescent="0.25">
      <c r="K11" s="7"/>
    </row>
    <row r="12" spans="1:11" x14ac:dyDescent="0.25">
      <c r="K12" s="7"/>
    </row>
    <row r="13" spans="1:11" x14ac:dyDescent="0.25">
      <c r="K13" s="7"/>
    </row>
    <row r="14" spans="1:11" x14ac:dyDescent="0.25">
      <c r="K14" s="7"/>
    </row>
    <row r="15" spans="1:11" x14ac:dyDescent="0.25">
      <c r="K15" s="7"/>
    </row>
    <row r="16" spans="1:11" x14ac:dyDescent="0.25">
      <c r="K16" s="7"/>
    </row>
    <row r="17" spans="11:11" x14ac:dyDescent="0.25">
      <c r="K17" s="7"/>
    </row>
    <row r="18" spans="11:11" x14ac:dyDescent="0.25">
      <c r="K18" s="7"/>
    </row>
    <row r="19" spans="11:11" x14ac:dyDescent="0.25">
      <c r="K19" s="7"/>
    </row>
    <row r="20" spans="11:11" x14ac:dyDescent="0.25">
      <c r="K20" s="7"/>
    </row>
    <row r="21" spans="11:11" x14ac:dyDescent="0.25">
      <c r="K21" s="7"/>
    </row>
    <row r="22" spans="11:11" x14ac:dyDescent="0.25">
      <c r="K22" s="7"/>
    </row>
    <row r="23" spans="11:11" x14ac:dyDescent="0.25">
      <c r="K23" s="7"/>
    </row>
    <row r="24" spans="11:11" x14ac:dyDescent="0.25">
      <c r="K24" s="7"/>
    </row>
    <row r="25" spans="11:11" x14ac:dyDescent="0.25">
      <c r="K25" s="7"/>
    </row>
    <row r="26" spans="11:11" x14ac:dyDescent="0.25">
      <c r="K26" s="7"/>
    </row>
    <row r="27" spans="11:11" x14ac:dyDescent="0.25">
      <c r="K27" s="7"/>
    </row>
    <row r="28" spans="11:11" x14ac:dyDescent="0.25">
      <c r="K28" s="7"/>
    </row>
    <row r="29" spans="11:11" x14ac:dyDescent="0.25">
      <c r="K29" s="7"/>
    </row>
    <row r="30" spans="11:11" x14ac:dyDescent="0.25">
      <c r="K30" s="7"/>
    </row>
    <row r="31" spans="11:11" x14ac:dyDescent="0.25">
      <c r="K31" s="7"/>
    </row>
    <row r="32" spans="11:11" x14ac:dyDescent="0.25">
      <c r="K32" s="7"/>
    </row>
    <row r="33" spans="11:11" x14ac:dyDescent="0.25">
      <c r="K33" s="7"/>
    </row>
    <row r="34" spans="11:11" x14ac:dyDescent="0.25">
      <c r="K34" s="7"/>
    </row>
    <row r="35" spans="11:11" x14ac:dyDescent="0.25">
      <c r="K35" s="7"/>
    </row>
    <row r="36" spans="11:11" x14ac:dyDescent="0.25">
      <c r="K36" s="7"/>
    </row>
    <row r="37" spans="11:11" x14ac:dyDescent="0.25">
      <c r="K37" s="7"/>
    </row>
    <row r="38" spans="11:11" x14ac:dyDescent="0.25">
      <c r="K38" s="7"/>
    </row>
    <row r="39" spans="11:11" x14ac:dyDescent="0.25">
      <c r="K39" s="7"/>
    </row>
    <row r="40" spans="11:11" x14ac:dyDescent="0.25">
      <c r="K40" s="7"/>
    </row>
    <row r="41" spans="11:11" x14ac:dyDescent="0.25">
      <c r="K41" s="7"/>
    </row>
    <row r="42" spans="11:11" x14ac:dyDescent="0.25">
      <c r="K42" s="7"/>
    </row>
    <row r="43" spans="11:11" x14ac:dyDescent="0.25">
      <c r="K43" s="7"/>
    </row>
    <row r="44" spans="11:11" x14ac:dyDescent="0.25">
      <c r="K44" s="7"/>
    </row>
    <row r="45" spans="11:11" x14ac:dyDescent="0.25">
      <c r="K45" s="7"/>
    </row>
    <row r="46" spans="11:11" x14ac:dyDescent="0.25">
      <c r="K46" s="7"/>
    </row>
    <row r="47" spans="11:11" x14ac:dyDescent="0.25">
      <c r="K47" s="7"/>
    </row>
    <row r="48" spans="11:11" x14ac:dyDescent="0.25">
      <c r="K48" s="7"/>
    </row>
    <row r="49" spans="11:11" x14ac:dyDescent="0.25">
      <c r="K49" s="7"/>
    </row>
    <row r="50" spans="11:11" x14ac:dyDescent="0.25">
      <c r="K50" s="7"/>
    </row>
    <row r="51" spans="11:11" x14ac:dyDescent="0.25">
      <c r="K51" s="7"/>
    </row>
    <row r="52" spans="11:11" x14ac:dyDescent="0.25">
      <c r="K52" s="7"/>
    </row>
    <row r="53" spans="11:11" x14ac:dyDescent="0.25">
      <c r="K53" s="7"/>
    </row>
    <row r="54" spans="11:11" x14ac:dyDescent="0.25">
      <c r="K54" s="7"/>
    </row>
    <row r="55" spans="11:11" x14ac:dyDescent="0.25">
      <c r="K55" s="7"/>
    </row>
    <row r="56" spans="11:11" x14ac:dyDescent="0.25">
      <c r="K56" s="7"/>
    </row>
    <row r="57" spans="11:11" x14ac:dyDescent="0.25">
      <c r="K57" s="7"/>
    </row>
    <row r="58" spans="11:11" x14ac:dyDescent="0.25">
      <c r="K58" s="7"/>
    </row>
    <row r="59" spans="11:11" x14ac:dyDescent="0.25">
      <c r="K59" s="7"/>
    </row>
    <row r="60" spans="11:11" x14ac:dyDescent="0.25">
      <c r="K60" s="7"/>
    </row>
    <row r="61" spans="11:11" x14ac:dyDescent="0.25">
      <c r="K61" s="7"/>
    </row>
    <row r="62" spans="11:11" x14ac:dyDescent="0.25">
      <c r="K62" s="7"/>
    </row>
    <row r="63" spans="11:11" x14ac:dyDescent="0.25">
      <c r="K63" s="7"/>
    </row>
    <row r="64" spans="11:11" x14ac:dyDescent="0.25">
      <c r="K64" s="7"/>
    </row>
    <row r="65" spans="11:11" x14ac:dyDescent="0.25">
      <c r="K65" s="7"/>
    </row>
    <row r="66" spans="11:11" x14ac:dyDescent="0.25">
      <c r="K66" s="7"/>
    </row>
    <row r="67" spans="11:11" x14ac:dyDescent="0.25">
      <c r="K67" s="7"/>
    </row>
    <row r="68" spans="11:11" x14ac:dyDescent="0.25">
      <c r="K68" s="7"/>
    </row>
    <row r="69" spans="11:11" x14ac:dyDescent="0.25">
      <c r="K69" s="7"/>
    </row>
    <row r="70" spans="11:11" x14ac:dyDescent="0.25">
      <c r="K70" s="7"/>
    </row>
    <row r="71" spans="11:11" x14ac:dyDescent="0.25">
      <c r="K71" s="7"/>
    </row>
    <row r="72" spans="11:11" x14ac:dyDescent="0.25">
      <c r="K72" s="7"/>
    </row>
    <row r="73" spans="11:11" x14ac:dyDescent="0.25">
      <c r="K73" s="7"/>
    </row>
    <row r="74" spans="11:11" x14ac:dyDescent="0.25">
      <c r="K74" s="7"/>
    </row>
    <row r="75" spans="11:11" x14ac:dyDescent="0.25">
      <c r="K75" s="7"/>
    </row>
    <row r="76" spans="11:11" x14ac:dyDescent="0.25">
      <c r="K76" s="7"/>
    </row>
    <row r="77" spans="11:11" x14ac:dyDescent="0.25">
      <c r="K77" s="7"/>
    </row>
    <row r="78" spans="11:11" x14ac:dyDescent="0.25">
      <c r="K78" s="7"/>
    </row>
    <row r="79" spans="11:11" x14ac:dyDescent="0.25">
      <c r="K79" s="7"/>
    </row>
    <row r="80" spans="11:11" x14ac:dyDescent="0.25">
      <c r="K80" s="7"/>
    </row>
    <row r="81" spans="11:11" x14ac:dyDescent="0.25">
      <c r="K81" s="7"/>
    </row>
    <row r="82" spans="11:11" x14ac:dyDescent="0.25">
      <c r="K82" s="7"/>
    </row>
    <row r="83" spans="11:11" x14ac:dyDescent="0.25">
      <c r="K83" s="7"/>
    </row>
    <row r="84" spans="11:11" x14ac:dyDescent="0.25">
      <c r="K84" s="7"/>
    </row>
    <row r="85" spans="11:11" x14ac:dyDescent="0.25">
      <c r="K85" s="7"/>
    </row>
    <row r="86" spans="11:11" x14ac:dyDescent="0.25">
      <c r="K86" s="7"/>
    </row>
    <row r="87" spans="11:11" x14ac:dyDescent="0.25">
      <c r="K87" s="7"/>
    </row>
    <row r="88" spans="11:11" x14ac:dyDescent="0.25">
      <c r="K88" s="7"/>
    </row>
    <row r="89" spans="11:11" x14ac:dyDescent="0.25">
      <c r="K89" s="7"/>
    </row>
    <row r="90" spans="11:11" x14ac:dyDescent="0.25">
      <c r="K90" s="7"/>
    </row>
    <row r="91" spans="11:11" x14ac:dyDescent="0.25">
      <c r="K91" s="7"/>
    </row>
    <row r="92" spans="11:11" x14ac:dyDescent="0.25">
      <c r="K92" s="7"/>
    </row>
    <row r="93" spans="11:11" x14ac:dyDescent="0.25">
      <c r="K93" s="7"/>
    </row>
    <row r="94" spans="11:11" x14ac:dyDescent="0.25">
      <c r="K94" s="7"/>
    </row>
    <row r="95" spans="11:11" x14ac:dyDescent="0.25">
      <c r="K95" s="7"/>
    </row>
    <row r="96" spans="11:11" x14ac:dyDescent="0.25">
      <c r="K96" s="7"/>
    </row>
    <row r="97" spans="11:11" x14ac:dyDescent="0.25">
      <c r="K97" s="7"/>
    </row>
    <row r="98" spans="11:11" x14ac:dyDescent="0.25">
      <c r="K98" s="7"/>
    </row>
    <row r="99" spans="11:11" x14ac:dyDescent="0.25">
      <c r="K99" s="7"/>
    </row>
    <row r="100" spans="11:11" x14ac:dyDescent="0.25">
      <c r="K100" s="7"/>
    </row>
    <row r="101" spans="11:11" x14ac:dyDescent="0.25">
      <c r="K101" s="7"/>
    </row>
    <row r="102" spans="11:11" x14ac:dyDescent="0.25">
      <c r="K102" s="7"/>
    </row>
    <row r="103" spans="11:11" x14ac:dyDescent="0.25">
      <c r="K103" s="7"/>
    </row>
    <row r="104" spans="11:11" x14ac:dyDescent="0.25">
      <c r="K104" s="7"/>
    </row>
    <row r="105" spans="11:11" x14ac:dyDescent="0.25">
      <c r="K105" s="7"/>
    </row>
    <row r="106" spans="11:11" x14ac:dyDescent="0.25">
      <c r="K106" s="7"/>
    </row>
    <row r="107" spans="11:11" x14ac:dyDescent="0.25">
      <c r="K107" s="7"/>
    </row>
    <row r="108" spans="11:11" x14ac:dyDescent="0.25">
      <c r="K108" s="7"/>
    </row>
    <row r="109" spans="11:11" x14ac:dyDescent="0.25">
      <c r="K109" s="7"/>
    </row>
    <row r="110" spans="11:11" x14ac:dyDescent="0.25">
      <c r="K110" s="7"/>
    </row>
    <row r="111" spans="11:11" x14ac:dyDescent="0.25">
      <c r="K111" s="7"/>
    </row>
    <row r="112" spans="11:11" x14ac:dyDescent="0.25">
      <c r="K112" s="7"/>
    </row>
    <row r="113" spans="11:11" x14ac:dyDescent="0.25">
      <c r="K113" s="7"/>
    </row>
    <row r="114" spans="11:11" x14ac:dyDescent="0.25">
      <c r="K114" s="7"/>
    </row>
    <row r="115" spans="11:11" x14ac:dyDescent="0.25">
      <c r="K115" s="7"/>
    </row>
    <row r="116" spans="11:11" x14ac:dyDescent="0.25">
      <c r="K116" s="7"/>
    </row>
    <row r="117" spans="11:11" x14ac:dyDescent="0.25">
      <c r="K117" s="7"/>
    </row>
    <row r="118" spans="11:11" x14ac:dyDescent="0.25">
      <c r="K118" s="7"/>
    </row>
    <row r="119" spans="11:11" x14ac:dyDescent="0.25">
      <c r="K119" s="7"/>
    </row>
    <row r="120" spans="11:11" x14ac:dyDescent="0.25">
      <c r="K120" s="7"/>
    </row>
    <row r="121" spans="11:11" x14ac:dyDescent="0.25">
      <c r="K121" s="7"/>
    </row>
    <row r="122" spans="11:11" x14ac:dyDescent="0.25">
      <c r="K122" s="7"/>
    </row>
    <row r="123" spans="11:11" x14ac:dyDescent="0.25">
      <c r="K123" s="7"/>
    </row>
    <row r="124" spans="11:11" x14ac:dyDescent="0.25">
      <c r="K124" s="7"/>
    </row>
    <row r="125" spans="11:11" x14ac:dyDescent="0.25">
      <c r="K125" s="7"/>
    </row>
    <row r="126" spans="11:11" x14ac:dyDescent="0.25">
      <c r="K126" s="7"/>
    </row>
    <row r="127" spans="11:11" x14ac:dyDescent="0.25">
      <c r="K127" s="7"/>
    </row>
    <row r="128" spans="11:11" x14ac:dyDescent="0.25">
      <c r="K128" s="7"/>
    </row>
    <row r="129" spans="11:11" x14ac:dyDescent="0.25">
      <c r="K129" s="7"/>
    </row>
    <row r="130" spans="11:11" x14ac:dyDescent="0.25">
      <c r="K130" s="7"/>
    </row>
    <row r="131" spans="11:11" x14ac:dyDescent="0.25">
      <c r="K131" s="7"/>
    </row>
    <row r="132" spans="11:11" x14ac:dyDescent="0.25">
      <c r="K132" s="7"/>
    </row>
    <row r="133" spans="11:11" x14ac:dyDescent="0.25">
      <c r="K133" s="7"/>
    </row>
    <row r="134" spans="11:11" x14ac:dyDescent="0.25">
      <c r="K134" s="7"/>
    </row>
    <row r="135" spans="11:11" x14ac:dyDescent="0.25">
      <c r="K135" s="7"/>
    </row>
    <row r="136" spans="11:11" x14ac:dyDescent="0.25">
      <c r="K136" s="7"/>
    </row>
    <row r="137" spans="11:11" x14ac:dyDescent="0.25">
      <c r="K137" s="7"/>
    </row>
    <row r="138" spans="11:11" x14ac:dyDescent="0.25">
      <c r="K138" s="7"/>
    </row>
    <row r="139" spans="11:11" x14ac:dyDescent="0.25">
      <c r="K139" s="7"/>
    </row>
    <row r="140" spans="11:11" x14ac:dyDescent="0.25">
      <c r="K140" s="7"/>
    </row>
    <row r="141" spans="11:11" x14ac:dyDescent="0.25">
      <c r="K141" s="7"/>
    </row>
    <row r="142" spans="11:11" x14ac:dyDescent="0.25">
      <c r="K142" s="7"/>
    </row>
    <row r="143" spans="11:11" x14ac:dyDescent="0.25">
      <c r="K143" s="7"/>
    </row>
    <row r="144" spans="11:11" x14ac:dyDescent="0.25">
      <c r="K144" s="7"/>
    </row>
    <row r="145" spans="11:11" x14ac:dyDescent="0.25">
      <c r="K145" s="7"/>
    </row>
    <row r="146" spans="11:11" x14ac:dyDescent="0.25">
      <c r="K146" s="7"/>
    </row>
    <row r="147" spans="11:11" x14ac:dyDescent="0.25">
      <c r="K147" s="7"/>
    </row>
    <row r="148" spans="11:11" x14ac:dyDescent="0.25">
      <c r="K148" s="7"/>
    </row>
    <row r="149" spans="11:11" x14ac:dyDescent="0.25">
      <c r="K149" s="7"/>
    </row>
    <row r="150" spans="11:11" x14ac:dyDescent="0.25">
      <c r="K150" s="7"/>
    </row>
    <row r="151" spans="11:11" x14ac:dyDescent="0.25">
      <c r="K151" s="7"/>
    </row>
    <row r="152" spans="11:11" x14ac:dyDescent="0.25">
      <c r="K152" s="7"/>
    </row>
    <row r="153" spans="11:11" x14ac:dyDescent="0.25">
      <c r="K153" s="7"/>
    </row>
    <row r="154" spans="11:11" x14ac:dyDescent="0.25">
      <c r="K154" s="7"/>
    </row>
    <row r="155" spans="11:11" x14ac:dyDescent="0.25">
      <c r="K155" s="7"/>
    </row>
    <row r="156" spans="11:11" x14ac:dyDescent="0.25">
      <c r="K156" s="7"/>
    </row>
    <row r="157" spans="11:11" x14ac:dyDescent="0.25">
      <c r="K157" s="7"/>
    </row>
    <row r="158" spans="11:11" x14ac:dyDescent="0.25">
      <c r="K158" s="7"/>
    </row>
    <row r="159" spans="11:11" x14ac:dyDescent="0.25">
      <c r="K159" s="7"/>
    </row>
    <row r="160" spans="11:11" x14ac:dyDescent="0.25">
      <c r="K160" s="7"/>
    </row>
    <row r="161" spans="11:11" x14ac:dyDescent="0.25">
      <c r="K161" s="7"/>
    </row>
    <row r="162" spans="11:11" x14ac:dyDescent="0.25">
      <c r="K162" s="7"/>
    </row>
    <row r="163" spans="11:11" x14ac:dyDescent="0.25">
      <c r="K163" s="7"/>
    </row>
    <row r="164" spans="11:11" x14ac:dyDescent="0.25">
      <c r="K164" s="7"/>
    </row>
    <row r="165" spans="11:11" x14ac:dyDescent="0.25">
      <c r="K165" s="7"/>
    </row>
    <row r="166" spans="11:11" x14ac:dyDescent="0.25">
      <c r="K166" s="7"/>
    </row>
    <row r="167" spans="11:11" x14ac:dyDescent="0.25">
      <c r="K167" s="7"/>
    </row>
    <row r="168" spans="11:11" x14ac:dyDescent="0.25">
      <c r="K168" s="7"/>
    </row>
    <row r="169" spans="11:11" x14ac:dyDescent="0.25">
      <c r="K169" s="7"/>
    </row>
    <row r="170" spans="11:11" x14ac:dyDescent="0.25">
      <c r="K170" s="7"/>
    </row>
    <row r="171" spans="11:11" x14ac:dyDescent="0.25">
      <c r="K171" s="7"/>
    </row>
    <row r="172" spans="11:11" x14ac:dyDescent="0.25">
      <c r="K172" s="7"/>
    </row>
    <row r="173" spans="11:11" x14ac:dyDescent="0.25">
      <c r="K173" s="7"/>
    </row>
    <row r="174" spans="11:11" x14ac:dyDescent="0.25">
      <c r="K174" s="7"/>
    </row>
    <row r="175" spans="11:11" x14ac:dyDescent="0.25">
      <c r="K175" s="7"/>
    </row>
    <row r="176" spans="11:11" x14ac:dyDescent="0.25">
      <c r="K176" s="7"/>
    </row>
    <row r="177" spans="11:11" x14ac:dyDescent="0.25">
      <c r="K177" s="7"/>
    </row>
    <row r="178" spans="11:11" x14ac:dyDescent="0.25">
      <c r="K178" s="7"/>
    </row>
    <row r="179" spans="11:11" x14ac:dyDescent="0.25">
      <c r="K179" s="7"/>
    </row>
    <row r="180" spans="11:11" x14ac:dyDescent="0.25">
      <c r="K180" s="7"/>
    </row>
    <row r="181" spans="11:11" x14ac:dyDescent="0.25">
      <c r="K181" s="7"/>
    </row>
    <row r="182" spans="11:11" x14ac:dyDescent="0.25">
      <c r="K182" s="7"/>
    </row>
    <row r="183" spans="11:11" x14ac:dyDescent="0.25">
      <c r="K183" s="7"/>
    </row>
    <row r="184" spans="11:11" x14ac:dyDescent="0.25">
      <c r="K184" s="7"/>
    </row>
    <row r="185" spans="11:11" x14ac:dyDescent="0.25">
      <c r="K185" s="7"/>
    </row>
    <row r="186" spans="11:11" x14ac:dyDescent="0.25">
      <c r="K186" s="7"/>
    </row>
    <row r="187" spans="11:11" x14ac:dyDescent="0.25">
      <c r="K187" s="7"/>
    </row>
    <row r="188" spans="11:11" x14ac:dyDescent="0.25">
      <c r="K188" s="7"/>
    </row>
    <row r="189" spans="11:11" x14ac:dyDescent="0.25">
      <c r="K189" s="7"/>
    </row>
    <row r="190" spans="11:11" x14ac:dyDescent="0.25">
      <c r="K190" s="7"/>
    </row>
    <row r="191" spans="11:11" x14ac:dyDescent="0.25">
      <c r="K191" s="7"/>
    </row>
    <row r="192" spans="11:11" x14ac:dyDescent="0.25">
      <c r="K192" s="7"/>
    </row>
    <row r="193" spans="11:11" x14ac:dyDescent="0.25">
      <c r="K193" s="7"/>
    </row>
    <row r="194" spans="11:11" x14ac:dyDescent="0.25">
      <c r="K194" s="7"/>
    </row>
    <row r="195" spans="11:11" x14ac:dyDescent="0.25">
      <c r="K195" s="7"/>
    </row>
    <row r="196" spans="11:11" x14ac:dyDescent="0.25">
      <c r="K196" s="7"/>
    </row>
    <row r="197" spans="11:11" x14ac:dyDescent="0.25">
      <c r="K197" s="7"/>
    </row>
    <row r="198" spans="11:11" x14ac:dyDescent="0.25">
      <c r="K198" s="7"/>
    </row>
    <row r="199" spans="11:11" x14ac:dyDescent="0.25">
      <c r="K199" s="7"/>
    </row>
    <row r="200" spans="11:11" x14ac:dyDescent="0.25">
      <c r="K200" s="7"/>
    </row>
    <row r="201" spans="11:11" x14ac:dyDescent="0.25">
      <c r="K201" s="7"/>
    </row>
    <row r="202" spans="11:11" x14ac:dyDescent="0.25">
      <c r="K202" s="7"/>
    </row>
    <row r="203" spans="11:11" x14ac:dyDescent="0.25">
      <c r="K203" s="7"/>
    </row>
    <row r="204" spans="11:11" x14ac:dyDescent="0.25">
      <c r="K204" s="7"/>
    </row>
    <row r="205" spans="11:11" x14ac:dyDescent="0.25">
      <c r="K205" s="7"/>
    </row>
    <row r="206" spans="11:11" x14ac:dyDescent="0.25">
      <c r="K206" s="7"/>
    </row>
    <row r="207" spans="11:11" x14ac:dyDescent="0.25">
      <c r="K207" s="7"/>
    </row>
    <row r="208" spans="11:11" x14ac:dyDescent="0.25">
      <c r="K208" s="7"/>
    </row>
    <row r="209" spans="11:11" x14ac:dyDescent="0.25">
      <c r="K209" s="7"/>
    </row>
    <row r="210" spans="11:11" x14ac:dyDescent="0.25">
      <c r="K210" s="7"/>
    </row>
    <row r="211" spans="11:11" x14ac:dyDescent="0.25">
      <c r="K211" s="7"/>
    </row>
    <row r="212" spans="11:11" x14ac:dyDescent="0.25">
      <c r="K212" s="7"/>
    </row>
    <row r="213" spans="11:11" x14ac:dyDescent="0.25">
      <c r="K213" s="7"/>
    </row>
    <row r="214" spans="11:11" x14ac:dyDescent="0.25">
      <c r="K214" s="7"/>
    </row>
    <row r="215" spans="11:11" x14ac:dyDescent="0.25">
      <c r="K215" s="7"/>
    </row>
    <row r="216" spans="11:11" x14ac:dyDescent="0.25">
      <c r="K216" s="7"/>
    </row>
    <row r="217" spans="11:11" x14ac:dyDescent="0.25">
      <c r="K217" s="7"/>
    </row>
    <row r="218" spans="11:11" x14ac:dyDescent="0.25">
      <c r="K218" s="7"/>
    </row>
    <row r="219" spans="11:11" x14ac:dyDescent="0.25">
      <c r="K219" s="7"/>
    </row>
    <row r="220" spans="11:11" x14ac:dyDescent="0.25">
      <c r="K220" s="7"/>
    </row>
    <row r="221" spans="11:11" x14ac:dyDescent="0.25">
      <c r="K221" s="7"/>
    </row>
    <row r="222" spans="11:11" x14ac:dyDescent="0.25">
      <c r="K222" s="7"/>
    </row>
    <row r="223" spans="11:11" x14ac:dyDescent="0.25">
      <c r="K223" s="7"/>
    </row>
    <row r="224" spans="11:11" x14ac:dyDescent="0.25">
      <c r="K224" s="7"/>
    </row>
    <row r="225" spans="11:11" x14ac:dyDescent="0.25">
      <c r="K225" s="7"/>
    </row>
    <row r="226" spans="11:11" x14ac:dyDescent="0.25">
      <c r="K226" s="7"/>
    </row>
    <row r="227" spans="11:11" x14ac:dyDescent="0.25">
      <c r="K227" s="7"/>
    </row>
    <row r="228" spans="11:11" x14ac:dyDescent="0.25">
      <c r="K228" s="7"/>
    </row>
    <row r="229" spans="11:11" x14ac:dyDescent="0.25">
      <c r="K229" s="7"/>
    </row>
    <row r="230" spans="11:11" x14ac:dyDescent="0.25">
      <c r="K230" s="7"/>
    </row>
    <row r="231" spans="11:11" x14ac:dyDescent="0.25">
      <c r="K231" s="7"/>
    </row>
    <row r="232" spans="11:11" x14ac:dyDescent="0.25">
      <c r="K232" s="7"/>
    </row>
    <row r="233" spans="11:11" x14ac:dyDescent="0.25">
      <c r="K233" s="7"/>
    </row>
    <row r="234" spans="11:11" x14ac:dyDescent="0.25">
      <c r="K234" s="7"/>
    </row>
    <row r="235" spans="11:11" x14ac:dyDescent="0.25">
      <c r="K235" s="7"/>
    </row>
    <row r="236" spans="11:11" x14ac:dyDescent="0.25">
      <c r="K236" s="7"/>
    </row>
    <row r="237" spans="11:11" x14ac:dyDescent="0.25">
      <c r="K237" s="7"/>
    </row>
    <row r="238" spans="11:11" x14ac:dyDescent="0.25">
      <c r="K238" s="7"/>
    </row>
    <row r="239" spans="11:11" x14ac:dyDescent="0.25">
      <c r="K239" s="7"/>
    </row>
    <row r="240" spans="11:11" x14ac:dyDescent="0.25">
      <c r="K240" s="7"/>
    </row>
    <row r="241" spans="11:11" x14ac:dyDescent="0.25">
      <c r="K241" s="7"/>
    </row>
    <row r="242" spans="11:11" x14ac:dyDescent="0.25">
      <c r="K242" s="7"/>
    </row>
    <row r="243" spans="11:11" x14ac:dyDescent="0.25">
      <c r="K243" s="7"/>
    </row>
    <row r="244" spans="11:11" x14ac:dyDescent="0.25">
      <c r="K244" s="7"/>
    </row>
    <row r="245" spans="11:11" x14ac:dyDescent="0.25">
      <c r="K245" s="7"/>
    </row>
    <row r="246" spans="11:11" x14ac:dyDescent="0.25">
      <c r="K246" s="7"/>
    </row>
    <row r="247" spans="11:11" x14ac:dyDescent="0.25">
      <c r="K247" s="7"/>
    </row>
    <row r="248" spans="11:11" x14ac:dyDescent="0.25">
      <c r="K248" s="7"/>
    </row>
    <row r="249" spans="11:11" x14ac:dyDescent="0.25">
      <c r="K249" s="7"/>
    </row>
    <row r="250" spans="11:11" x14ac:dyDescent="0.25">
      <c r="K250" s="7"/>
    </row>
    <row r="251" spans="11:11" x14ac:dyDescent="0.25">
      <c r="K251" s="7"/>
    </row>
    <row r="252" spans="11:11" x14ac:dyDescent="0.25">
      <c r="K252" s="7"/>
    </row>
    <row r="253" spans="11:11" x14ac:dyDescent="0.25">
      <c r="K253" s="7"/>
    </row>
    <row r="254" spans="11:11" x14ac:dyDescent="0.25">
      <c r="K254" s="7"/>
    </row>
    <row r="255" spans="11:11" x14ac:dyDescent="0.25">
      <c r="K255" s="7"/>
    </row>
    <row r="256" spans="11:11" x14ac:dyDescent="0.25">
      <c r="K256" s="7"/>
    </row>
    <row r="257" spans="11:11" x14ac:dyDescent="0.25">
      <c r="K257" s="7"/>
    </row>
    <row r="258" spans="11:11" x14ac:dyDescent="0.25">
      <c r="K258" s="7"/>
    </row>
    <row r="259" spans="11:11" x14ac:dyDescent="0.25">
      <c r="K259" s="7"/>
    </row>
    <row r="260" spans="11:11" x14ac:dyDescent="0.25">
      <c r="K260" s="7"/>
    </row>
    <row r="261" spans="11:11" x14ac:dyDescent="0.25">
      <c r="K261" s="7"/>
    </row>
    <row r="262" spans="11:11" x14ac:dyDescent="0.25">
      <c r="K262" s="7"/>
    </row>
    <row r="263" spans="11:11" x14ac:dyDescent="0.25">
      <c r="K263" s="7"/>
    </row>
    <row r="264" spans="11:11" x14ac:dyDescent="0.25">
      <c r="K264" s="7"/>
    </row>
    <row r="265" spans="11:11" x14ac:dyDescent="0.25">
      <c r="K265" s="7"/>
    </row>
    <row r="266" spans="11:11" x14ac:dyDescent="0.25">
      <c r="K266" s="7"/>
    </row>
    <row r="267" spans="11:11" x14ac:dyDescent="0.25">
      <c r="K267" s="7"/>
    </row>
    <row r="268" spans="11:11" x14ac:dyDescent="0.25">
      <c r="K268" s="7"/>
    </row>
    <row r="269" spans="11:11" x14ac:dyDescent="0.25">
      <c r="K269" s="7"/>
    </row>
    <row r="270" spans="11:11" x14ac:dyDescent="0.25">
      <c r="K270" s="7"/>
    </row>
    <row r="271" spans="11:11" x14ac:dyDescent="0.25">
      <c r="K271" s="7"/>
    </row>
    <row r="272" spans="11:11" x14ac:dyDescent="0.25">
      <c r="K272" s="7"/>
    </row>
    <row r="273" spans="11:11" x14ac:dyDescent="0.25">
      <c r="K273" s="7"/>
    </row>
    <row r="274" spans="11:11" x14ac:dyDescent="0.25">
      <c r="K274" s="7"/>
    </row>
    <row r="275" spans="11:11" x14ac:dyDescent="0.25">
      <c r="K275" s="7"/>
    </row>
    <row r="276" spans="11:11" x14ac:dyDescent="0.25">
      <c r="K276" s="7"/>
    </row>
    <row r="277" spans="11:11" x14ac:dyDescent="0.25">
      <c r="K277" s="7"/>
    </row>
    <row r="278" spans="11:11" x14ac:dyDescent="0.25">
      <c r="K278" s="7"/>
    </row>
    <row r="279" spans="11:11" x14ac:dyDescent="0.25">
      <c r="K279" s="7"/>
    </row>
    <row r="280" spans="11:11" x14ac:dyDescent="0.25">
      <c r="K280" s="7"/>
    </row>
    <row r="281" spans="11:11" x14ac:dyDescent="0.25">
      <c r="K281" s="7"/>
    </row>
    <row r="282" spans="11:11" x14ac:dyDescent="0.25">
      <c r="K282" s="7"/>
    </row>
    <row r="283" spans="11:11" x14ac:dyDescent="0.25">
      <c r="K283" s="7"/>
    </row>
    <row r="284" spans="11:11" x14ac:dyDescent="0.25">
      <c r="K284" s="7"/>
    </row>
    <row r="285" spans="11:11" x14ac:dyDescent="0.25">
      <c r="K285" s="7"/>
    </row>
    <row r="286" spans="11:11" x14ac:dyDescent="0.25">
      <c r="K286" s="7"/>
    </row>
    <row r="287" spans="11:11" x14ac:dyDescent="0.25">
      <c r="K287" s="7"/>
    </row>
    <row r="288" spans="11:11" x14ac:dyDescent="0.25">
      <c r="K288" s="7"/>
    </row>
    <row r="289" spans="11:11" x14ac:dyDescent="0.25">
      <c r="K289" s="7"/>
    </row>
    <row r="290" spans="11:11" x14ac:dyDescent="0.25">
      <c r="K290" s="7"/>
    </row>
    <row r="291" spans="11:11" x14ac:dyDescent="0.25">
      <c r="K291" s="7"/>
    </row>
    <row r="292" spans="11:11" x14ac:dyDescent="0.25">
      <c r="K292" s="7"/>
    </row>
    <row r="293" spans="11:11" x14ac:dyDescent="0.25">
      <c r="K293" s="7"/>
    </row>
    <row r="294" spans="11:11" x14ac:dyDescent="0.25">
      <c r="K294" s="7"/>
    </row>
    <row r="295" spans="11:11" x14ac:dyDescent="0.25">
      <c r="K295" s="7"/>
    </row>
    <row r="296" spans="11:11" x14ac:dyDescent="0.25">
      <c r="K296" s="7"/>
    </row>
    <row r="297" spans="11:11" x14ac:dyDescent="0.25">
      <c r="K297" s="7"/>
    </row>
    <row r="298" spans="11:11" x14ac:dyDescent="0.25">
      <c r="K298" s="7"/>
    </row>
    <row r="299" spans="11:11" x14ac:dyDescent="0.25">
      <c r="K299" s="7"/>
    </row>
    <row r="300" spans="11:11" x14ac:dyDescent="0.25">
      <c r="K300" s="7"/>
    </row>
    <row r="301" spans="11:11" x14ac:dyDescent="0.25">
      <c r="K301" s="7"/>
    </row>
    <row r="302" spans="11:11" x14ac:dyDescent="0.25">
      <c r="K302" s="7"/>
    </row>
    <row r="303" spans="11:11" x14ac:dyDescent="0.25">
      <c r="K303" s="7"/>
    </row>
    <row r="304" spans="11:11" x14ac:dyDescent="0.25">
      <c r="K304" s="7"/>
    </row>
    <row r="305" spans="11:11" x14ac:dyDescent="0.25">
      <c r="K305" s="7"/>
    </row>
    <row r="306" spans="11:11" x14ac:dyDescent="0.25">
      <c r="K306" s="7"/>
    </row>
    <row r="307" spans="11:11" x14ac:dyDescent="0.25">
      <c r="K307" s="7"/>
    </row>
    <row r="308" spans="11:11" x14ac:dyDescent="0.25">
      <c r="K308" s="7"/>
    </row>
    <row r="309" spans="11:11" x14ac:dyDescent="0.25">
      <c r="K309" s="7"/>
    </row>
    <row r="310" spans="11:11" x14ac:dyDescent="0.25">
      <c r="K310" s="7"/>
    </row>
    <row r="311" spans="11:11" x14ac:dyDescent="0.25">
      <c r="K311" s="7"/>
    </row>
    <row r="312" spans="11:11" x14ac:dyDescent="0.25">
      <c r="K312" s="7"/>
    </row>
    <row r="313" spans="11:11" x14ac:dyDescent="0.25">
      <c r="K313" s="7"/>
    </row>
    <row r="314" spans="11:11" x14ac:dyDescent="0.25">
      <c r="K314" s="7"/>
    </row>
    <row r="315" spans="11:11" x14ac:dyDescent="0.25">
      <c r="K315" s="7"/>
    </row>
    <row r="316" spans="11:11" x14ac:dyDescent="0.25">
      <c r="K316" s="7"/>
    </row>
    <row r="317" spans="11:11" x14ac:dyDescent="0.25">
      <c r="K317" s="7"/>
    </row>
    <row r="318" spans="11:11" x14ac:dyDescent="0.25">
      <c r="K318" s="7"/>
    </row>
    <row r="319" spans="11:11" x14ac:dyDescent="0.25">
      <c r="K319" s="7"/>
    </row>
    <row r="320" spans="11:11" x14ac:dyDescent="0.25">
      <c r="K320" s="7"/>
    </row>
    <row r="321" spans="11:11" x14ac:dyDescent="0.25">
      <c r="K321" s="7"/>
    </row>
    <row r="322" spans="11:11" x14ac:dyDescent="0.25">
      <c r="K322" s="7"/>
    </row>
    <row r="323" spans="11:11" x14ac:dyDescent="0.25">
      <c r="K323" s="7"/>
    </row>
    <row r="324" spans="11:11" x14ac:dyDescent="0.25">
      <c r="K324" s="7"/>
    </row>
    <row r="325" spans="11:11" x14ac:dyDescent="0.25">
      <c r="K325" s="7"/>
    </row>
    <row r="326" spans="11:11" x14ac:dyDescent="0.25">
      <c r="K326" s="7"/>
    </row>
    <row r="327" spans="11:11" x14ac:dyDescent="0.25">
      <c r="K327" s="7"/>
    </row>
    <row r="328" spans="11:11" x14ac:dyDescent="0.25">
      <c r="K328" s="7"/>
    </row>
    <row r="329" spans="11:11" x14ac:dyDescent="0.25">
      <c r="K329" s="7"/>
    </row>
    <row r="330" spans="11:11" x14ac:dyDescent="0.25">
      <c r="K330" s="7"/>
    </row>
    <row r="331" spans="11:11" x14ac:dyDescent="0.25">
      <c r="K331" s="7"/>
    </row>
    <row r="332" spans="11:11" x14ac:dyDescent="0.25">
      <c r="K332" s="7"/>
    </row>
    <row r="333" spans="11:11" x14ac:dyDescent="0.25">
      <c r="K333" s="7"/>
    </row>
    <row r="334" spans="11:11" x14ac:dyDescent="0.25">
      <c r="K334" s="7"/>
    </row>
    <row r="335" spans="11:11" x14ac:dyDescent="0.25">
      <c r="K335" s="7"/>
    </row>
    <row r="336" spans="11:11" x14ac:dyDescent="0.25">
      <c r="K336" s="7"/>
    </row>
    <row r="337" spans="11:11" x14ac:dyDescent="0.25">
      <c r="K337" s="7"/>
    </row>
    <row r="338" spans="11:11" x14ac:dyDescent="0.25">
      <c r="K338" s="7"/>
    </row>
    <row r="339" spans="11:11" x14ac:dyDescent="0.25">
      <c r="K339" s="7"/>
    </row>
    <row r="340" spans="11:11" x14ac:dyDescent="0.25">
      <c r="K340" s="7"/>
    </row>
    <row r="341" spans="11:11" x14ac:dyDescent="0.25">
      <c r="K341" s="7"/>
    </row>
    <row r="342" spans="11:11" x14ac:dyDescent="0.25">
      <c r="K342" s="7"/>
    </row>
    <row r="343" spans="11:11" x14ac:dyDescent="0.25">
      <c r="K343" s="7"/>
    </row>
    <row r="344" spans="11:11" x14ac:dyDescent="0.25">
      <c r="K344" s="7"/>
    </row>
    <row r="345" spans="11:11" x14ac:dyDescent="0.25">
      <c r="K345" s="7"/>
    </row>
    <row r="346" spans="11:11" x14ac:dyDescent="0.25">
      <c r="K346" s="7"/>
    </row>
    <row r="347" spans="11:11" x14ac:dyDescent="0.25">
      <c r="K347" s="7"/>
    </row>
    <row r="348" spans="11:11" x14ac:dyDescent="0.25">
      <c r="K348" s="7"/>
    </row>
    <row r="349" spans="11:11" x14ac:dyDescent="0.25">
      <c r="K349" s="7"/>
    </row>
    <row r="350" spans="11:11" x14ac:dyDescent="0.25">
      <c r="K350" s="7"/>
    </row>
    <row r="351" spans="11:11" x14ac:dyDescent="0.25">
      <c r="K351" s="7"/>
    </row>
    <row r="352" spans="11:11" x14ac:dyDescent="0.25">
      <c r="K352" s="7"/>
    </row>
    <row r="353" spans="11:11" x14ac:dyDescent="0.25">
      <c r="K353" s="7"/>
    </row>
    <row r="354" spans="11:11" x14ac:dyDescent="0.25">
      <c r="K354" s="7"/>
    </row>
    <row r="355" spans="11:11" x14ac:dyDescent="0.25">
      <c r="K355" s="7"/>
    </row>
    <row r="356" spans="11:11" x14ac:dyDescent="0.25">
      <c r="K356" s="7"/>
    </row>
    <row r="357" spans="11:11" x14ac:dyDescent="0.25">
      <c r="K357" s="7"/>
    </row>
    <row r="358" spans="11:11" x14ac:dyDescent="0.25">
      <c r="K358" s="7"/>
    </row>
    <row r="359" spans="11:11" x14ac:dyDescent="0.25">
      <c r="K359" s="7"/>
    </row>
    <row r="360" spans="11:11" x14ac:dyDescent="0.25">
      <c r="K360" s="7"/>
    </row>
    <row r="361" spans="11:11" x14ac:dyDescent="0.25">
      <c r="K361" s="7"/>
    </row>
    <row r="362" spans="11:11" x14ac:dyDescent="0.25">
      <c r="K362" s="7"/>
    </row>
    <row r="363" spans="11:11" x14ac:dyDescent="0.25">
      <c r="K363" s="7"/>
    </row>
    <row r="364" spans="11:11" x14ac:dyDescent="0.25">
      <c r="K364" s="7"/>
    </row>
    <row r="365" spans="11:11" x14ac:dyDescent="0.25">
      <c r="K365" s="7"/>
    </row>
    <row r="366" spans="11:11" x14ac:dyDescent="0.25">
      <c r="K366" s="7"/>
    </row>
    <row r="367" spans="11:11" x14ac:dyDescent="0.25">
      <c r="K367" s="7"/>
    </row>
    <row r="368" spans="11:11" x14ac:dyDescent="0.25">
      <c r="K368" s="7"/>
    </row>
    <row r="369" spans="11:11" x14ac:dyDescent="0.25">
      <c r="K369" s="7"/>
    </row>
    <row r="370" spans="11:11" x14ac:dyDescent="0.25">
      <c r="K370" s="7"/>
    </row>
    <row r="371" spans="11:11" x14ac:dyDescent="0.25">
      <c r="K371" s="7"/>
    </row>
    <row r="372" spans="11:11" x14ac:dyDescent="0.25">
      <c r="K372" s="7"/>
    </row>
    <row r="373" spans="11:11" x14ac:dyDescent="0.25">
      <c r="K373" s="7"/>
    </row>
    <row r="374" spans="11:11" x14ac:dyDescent="0.25">
      <c r="K374" s="7"/>
    </row>
    <row r="375" spans="11:11" x14ac:dyDescent="0.25">
      <c r="K375" s="7"/>
    </row>
    <row r="376" spans="11:11" x14ac:dyDescent="0.25">
      <c r="K376" s="7"/>
    </row>
    <row r="377" spans="11:11" x14ac:dyDescent="0.25">
      <c r="K377" s="7"/>
    </row>
    <row r="378" spans="11:11" x14ac:dyDescent="0.25">
      <c r="K378" s="7"/>
    </row>
    <row r="379" spans="11:11" x14ac:dyDescent="0.25">
      <c r="K379" s="7"/>
    </row>
    <row r="380" spans="11:11" x14ac:dyDescent="0.25">
      <c r="K380" s="7"/>
    </row>
    <row r="381" spans="11:11" x14ac:dyDescent="0.25">
      <c r="K381" s="7"/>
    </row>
    <row r="382" spans="11:11" x14ac:dyDescent="0.25">
      <c r="K382" s="7"/>
    </row>
    <row r="383" spans="11:11" x14ac:dyDescent="0.25">
      <c r="K383" s="7"/>
    </row>
    <row r="384" spans="11:11" x14ac:dyDescent="0.25">
      <c r="K384" s="7"/>
    </row>
    <row r="385" spans="11:11" x14ac:dyDescent="0.25">
      <c r="K385" s="7"/>
    </row>
    <row r="386" spans="11:11" x14ac:dyDescent="0.25">
      <c r="K386" s="7"/>
    </row>
    <row r="387" spans="11:11" x14ac:dyDescent="0.25">
      <c r="K387" s="7"/>
    </row>
    <row r="388" spans="11:11" x14ac:dyDescent="0.25">
      <c r="K388" s="7"/>
    </row>
    <row r="389" spans="11:11" x14ac:dyDescent="0.25">
      <c r="K389" s="7"/>
    </row>
    <row r="390" spans="11:11" x14ac:dyDescent="0.25">
      <c r="K390" s="7"/>
    </row>
    <row r="391" spans="11:11" x14ac:dyDescent="0.25">
      <c r="K391" s="7"/>
    </row>
    <row r="392" spans="11:11" x14ac:dyDescent="0.25">
      <c r="K392" s="7"/>
    </row>
    <row r="393" spans="11:11" x14ac:dyDescent="0.25">
      <c r="K393" s="7"/>
    </row>
    <row r="394" spans="11:11" x14ac:dyDescent="0.25">
      <c r="K394" s="7"/>
    </row>
    <row r="395" spans="11:11" x14ac:dyDescent="0.25">
      <c r="K395" s="7"/>
    </row>
    <row r="396" spans="11:11" x14ac:dyDescent="0.25">
      <c r="K396" s="7"/>
    </row>
    <row r="397" spans="11:11" x14ac:dyDescent="0.25">
      <c r="K397" s="7"/>
    </row>
    <row r="398" spans="11:11" x14ac:dyDescent="0.25">
      <c r="K398" s="7"/>
    </row>
    <row r="399" spans="11:11" x14ac:dyDescent="0.25">
      <c r="K399" s="7"/>
    </row>
    <row r="400" spans="11:11" x14ac:dyDescent="0.25">
      <c r="K400" s="7"/>
    </row>
    <row r="401" spans="11:11" x14ac:dyDescent="0.25">
      <c r="K401" s="7"/>
    </row>
    <row r="402" spans="11:11" x14ac:dyDescent="0.25">
      <c r="K402" s="7"/>
    </row>
    <row r="403" spans="11:11" x14ac:dyDescent="0.25">
      <c r="K403" s="7"/>
    </row>
    <row r="404" spans="11:11" x14ac:dyDescent="0.25">
      <c r="K404" s="7"/>
    </row>
    <row r="405" spans="11:11" x14ac:dyDescent="0.25">
      <c r="K405" s="7"/>
    </row>
    <row r="406" spans="11:11" x14ac:dyDescent="0.25">
      <c r="K406" s="7"/>
    </row>
    <row r="407" spans="11:11" x14ac:dyDescent="0.25">
      <c r="K407" s="7"/>
    </row>
    <row r="408" spans="11:11" x14ac:dyDescent="0.25">
      <c r="K408" s="7"/>
    </row>
    <row r="409" spans="11:11" x14ac:dyDescent="0.25">
      <c r="K409" s="7"/>
    </row>
    <row r="410" spans="11:11" x14ac:dyDescent="0.25">
      <c r="K410" s="7"/>
    </row>
    <row r="411" spans="11:11" x14ac:dyDescent="0.25">
      <c r="K411" s="7"/>
    </row>
    <row r="412" spans="11:11" x14ac:dyDescent="0.25">
      <c r="K412" s="7"/>
    </row>
    <row r="413" spans="11:11" x14ac:dyDescent="0.25">
      <c r="K413" s="7"/>
    </row>
    <row r="414" spans="11:11" x14ac:dyDescent="0.25">
      <c r="K414" s="7"/>
    </row>
    <row r="415" spans="11:11" x14ac:dyDescent="0.25">
      <c r="K415" s="7"/>
    </row>
    <row r="416" spans="11:11" x14ac:dyDescent="0.25">
      <c r="K416" s="7"/>
    </row>
    <row r="417" spans="11:11" x14ac:dyDescent="0.25">
      <c r="K417" s="7"/>
    </row>
    <row r="418" spans="11:11" x14ac:dyDescent="0.25">
      <c r="K418" s="7"/>
    </row>
    <row r="419" spans="11:11" x14ac:dyDescent="0.25">
      <c r="K419" s="7"/>
    </row>
    <row r="420" spans="11:11" x14ac:dyDescent="0.25">
      <c r="K420" s="7"/>
    </row>
    <row r="421" spans="11:11" x14ac:dyDescent="0.25">
      <c r="K421" s="7"/>
    </row>
    <row r="422" spans="11:11" x14ac:dyDescent="0.25">
      <c r="K422" s="7"/>
    </row>
    <row r="423" spans="11:11" x14ac:dyDescent="0.25">
      <c r="K423" s="7"/>
    </row>
    <row r="424" spans="11:11" x14ac:dyDescent="0.25">
      <c r="K424" s="7"/>
    </row>
    <row r="425" spans="11:11" x14ac:dyDescent="0.25">
      <c r="K425" s="7"/>
    </row>
    <row r="426" spans="11:11" x14ac:dyDescent="0.25">
      <c r="K426" s="7"/>
    </row>
    <row r="427" spans="11:11" x14ac:dyDescent="0.25">
      <c r="K427" s="7"/>
    </row>
    <row r="428" spans="11:11" x14ac:dyDescent="0.25">
      <c r="K428" s="7"/>
    </row>
    <row r="429" spans="11:11" x14ac:dyDescent="0.25">
      <c r="K429" s="7"/>
    </row>
    <row r="430" spans="11:11" x14ac:dyDescent="0.25">
      <c r="K430" s="7"/>
    </row>
    <row r="431" spans="11:11" x14ac:dyDescent="0.25">
      <c r="K431" s="7"/>
    </row>
    <row r="432" spans="11:11" x14ac:dyDescent="0.25">
      <c r="K432" s="7"/>
    </row>
    <row r="433" spans="11:11" x14ac:dyDescent="0.25">
      <c r="K433" s="7"/>
    </row>
    <row r="434" spans="11:11" x14ac:dyDescent="0.25">
      <c r="K434" s="7"/>
    </row>
    <row r="435" spans="11:11" x14ac:dyDescent="0.25">
      <c r="K435" s="7"/>
    </row>
    <row r="436" spans="11:11" x14ac:dyDescent="0.25">
      <c r="K436" s="7"/>
    </row>
    <row r="437" spans="11:11" x14ac:dyDescent="0.25">
      <c r="K437" s="7"/>
    </row>
    <row r="438" spans="11:11" x14ac:dyDescent="0.25">
      <c r="K438" s="7"/>
    </row>
    <row r="439" spans="11:11" x14ac:dyDescent="0.25">
      <c r="K439" s="7"/>
    </row>
    <row r="440" spans="11:11" x14ac:dyDescent="0.25">
      <c r="K440" s="7"/>
    </row>
    <row r="441" spans="11:11" x14ac:dyDescent="0.25">
      <c r="K441" s="7"/>
    </row>
    <row r="442" spans="11:11" x14ac:dyDescent="0.25">
      <c r="K442" s="7"/>
    </row>
  </sheetData>
  <sheetProtection sheet="1" scenarios="1" sort="0" autoFilter="0"/>
  <dataValidations count="3">
    <dataValidation type="list" allowBlank="1" showInputMessage="1" showErrorMessage="1" sqref="C2:C4">
      <formula1>"Common, Runtime, Init"</formula1>
    </dataValidation>
    <dataValidation type="list" allowBlank="1" showInputMessage="1" showErrorMessage="1" sqref="E2:E4">
      <formula1>"H, M, L"</formula1>
    </dataValidation>
    <dataValidation type="list" allowBlank="1" showInputMessage="1" showErrorMessage="1" sqref="F2:F4">
      <formula1>"Yes"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67EC896C-265D-40B7-81BB-8C408D9196D7}">
            <xm:f>'Base Data'!B2</xm:f>
            <x14:dxf>
              <fill>
                <patternFill>
                  <bgColor rgb="FFFFFF99"/>
                </patternFill>
              </fill>
            </x14:dxf>
          </x14:cfRule>
          <xm:sqref>B2:I4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'Program Definition'!$A$10:$A$12</xm:f>
          </x14:formula1>
          <xm:sqref>B2:B4</xm:sqref>
        </x14:dataValidation>
        <x14:dataValidation type="list" allowBlank="1" showInputMessage="1" showErrorMessage="1">
          <x14:formula1>
            <xm:f>'Program Definition'!$B$15:$B$26</xm:f>
          </x14:formula1>
          <xm:sqref>D2:D4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Program Definition</vt:lpstr>
      <vt:lpstr>Overrides</vt:lpstr>
      <vt:lpstr>Base Data</vt:lpstr>
      <vt:lpstr>AllocationSize</vt:lpstr>
      <vt:lpstr>Customer</vt:lpstr>
      <vt:lpstr>IninCardinality</vt:lpstr>
      <vt:lpstr>Program</vt:lpstr>
      <vt:lpstr>RAMSize</vt:lpstr>
      <vt:lpstr>Reviewed</vt:lpstr>
      <vt:lpstr>RtCardinality</vt:lpstr>
    </vt:vector>
  </TitlesOfParts>
  <Company>Nexteer Automotive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Smith, Terrence D</dc:creator>
  <cp:lastModifiedBy>Smith, Terrence D</cp:lastModifiedBy>
  <dcterms:created xsi:type="dcterms:W3CDTF">2015-09-14T12:15:30Z</dcterms:created>
  <dcterms:modified xsi:type="dcterms:W3CDTF">2016-01-28T16:47:40Z</dcterms:modified>
</cp:coreProperties>
</file>