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06A_TEstimn_Impl\doc\"/>
    </mc:Choice>
  </mc:AlternateContent>
  <xr:revisionPtr revIDLastSave="0" documentId="13_ncr:1_{5CEA6DB3-0D5E-44DB-86F9-2E39E1500015}"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<sst xmlns="http://schemas.openxmlformats.org/spreadsheetml/2006/main" count="1214" uniqueCount="348">
  <si>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</si>
  <si>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</si>
  <si>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</si>
  <si>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</si>
  <si>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</si>
  <si>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</si>
  <si>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</si>
  <si>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</si>
  <si>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</si>
  <si>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</si>
  <si>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</si>
  <si>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</si>
  <si>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</si>
  <si>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</si>
  <si>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</si>
  <si>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</si>
  <si>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</si>
  <si>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</si>
  <si>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</si>
  <si>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</si>
  <si>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</si>
  <si>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</si>
  <si>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</si>
  <si>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</si>
  <si>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</si>
  <si>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</si>
  <si>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</si>
  <si>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</si>
  <si>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</si>
  <si>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</si>
  <si>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</si>
  <si>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</si>
  <si>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</si>
  <si>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</si>
  <si>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</si>
  <si>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</si>
  <si>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</si>
  <si>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</si>
  <si>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</si>
  <si>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</si>
  <si>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</si>
  <si>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</si>
  <si>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</si>
  <si>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</si>
  <si>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</si>
  <si>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</si>
  <si>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</si>
  <si>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</si>
  <si>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</si>
  <si>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</si>
  <si>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</si>
  <si>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</si>
  <si>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</si>
  <si>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</si>
  <si>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</si>
  <si>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</si>
  <si>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</si>
  <si>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</si>
  <si>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</si>
  <si>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</si>
  <si>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</si>
  <si>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</si>
  <si>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</si>
  <si>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</si>
  <si>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</si>
  <si>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</si>
  <si>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</si>
  <si>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</si>
  <si>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</si>
  <si>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</si>
  <si>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</si>
  <si>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</si>
  <si>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</si>
  <si>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</si>
  <si>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</si>
  <si>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</si>
  <si>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</si>
  <si>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</si>
  <si>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</si>
  <si>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</si>
  <si>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</si>
  <si>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</si>
  <si>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</si>
  <si>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</si>
  <si>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</si>
  <si>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</si>
  <si>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</si>
  <si>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</si>
  <si>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</si>
  <si>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</si>
  <si>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</si>
  <si>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</si>
  <si>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</si>
  <si>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</si>
  <si>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</si>
  <si>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</si>
  <si>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</si>
  <si>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</si>
  <si>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</si>
  <si>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</si>
  <si>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</si>
  <si>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</si>
  <si>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</si>
  <si>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</si>
  <si>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</si>
  <si>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</si>
  <si>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</si>
  <si>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</si>
  <si>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</si>
  <si>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</si>
  <si>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</si>
  <si>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</si>
  <si>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</si>
  <si>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</si>
  <si>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</si>
  <si>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</si>
  <si>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</si>
  <si>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</si>
  <si>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</si>
  <si>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</si>
  <si>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</si>
  <si>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</si>
  <si>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</si>
  <si>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</si>
  <si>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</si>
  <si>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</si>
  <si>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</si>
  <si>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</si>
  <si>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</si>
  <si>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</si>
  <si>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</si>
  <si>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</si>
  <si>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</si>
  <si>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</si>
  <si>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</si>
  <si>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</si>
  <si>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</si>
  <si>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</si>
  <si>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</si>
  <si>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</si>
  <si>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</si>
  <si>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</si>
  <si>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</si>
  <si>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</si>
  <si>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</si>
  <si>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</si>
  <si>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</si>
  <si>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</si>
  <si>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</si>
  <si>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</si>
  <si>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</si>
  <si>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</si>
  <si>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</si>
  <si>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</si>
  <si>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</si>
  <si>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</si>
  <si>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</si>
  <si>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</si>
  <si>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</si>
  <si>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</si>
  <si>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</si>
  <si>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</si>
  <si>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</si>
  <si>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</si>
  <si>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</si>
  <si>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</si>
  <si>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</si>
  <si>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</si>
  <si>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</si>
  <si>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</si>
  <si>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</si>
  <si>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</si>
  <si>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</si>
  <si>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</si>
  <si>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</si>
  <si>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</si>
  <si>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</si>
  <si>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</si>
  <si>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</si>
  <si>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</si>
  <si>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</si>
  <si>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</si>
  <si>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</si>
  <si>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</si>
  <si>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</si>
  <si>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</si>
  <si>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</si>
  <si>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</si>
  <si>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</si>
  <si>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</si>
  <si>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</si>
  <si>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</si>
  <si>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</si>
  <si>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</si>
  <si>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</si>
  <si>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</si>
  <si>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</si>
  <si>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</si>
  <si>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</si>
  <si>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</si>
  <si>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</si>
  <si>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</si>
  <si>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</si>
  <si>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</si>
  <si>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</si>
  <si>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</si>
  <si>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</si>
  <si>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</si>
  <si>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</si>
  <si>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</si>
  <si>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</si>
  <si>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</si>
  <si>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</si>
  <si>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</si>
  <si>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</si>
  <si>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</si>
  <si>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</si>
  <si>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</si>
  <si>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</si>
  <si>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</si>
  <si>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</si>
  <si>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</si>
  <si>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</si>
  <si>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</si>
  <si>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</si>
  <si>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</si>
  <si>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</si>
  <si>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</si>
  <si>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</si>
  <si>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</si>
  <si>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</si>
  <si>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</si>
  <si>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</si>
  <si>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</si>
  <si>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</si>
  <si>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</si>
  <si>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</si>
  <si>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</si>
  <si>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</si>
  <si>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</si>
  <si>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</si>
  <si>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</si>
  <si>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</si>
  <si>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</si>
  <si>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</si>
  <si>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</si>
  <si>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</si>
  <si>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</si>
  <si>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</si>
  <si>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</si>
  <si>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</si>
  <si>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</si>
  <si>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</si>
  <si>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</si>
  <si>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</si>
  <si>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</si>
  <si>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</si>
  <si>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</si>
  <si>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</si>
  <si>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</si>
  <si>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</si>
  <si>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</si>
  <si>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</si>
  <si>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</si>
  <si>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</si>
  <si>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</si>
  <si>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</si>
  <si>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</si>
  <si>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</si>
  <si>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</si>
  <si>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</si>
  <si>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</si>
  <si>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</si>
  <si>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</si>
  <si>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</si>
  <si>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</si>
  <si>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</si>
  <si>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</si>
  <si>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</si>
  <si>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</si>
  <si>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</si>
  <si>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</si>
  <si>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</si>
  <si>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</si>
  <si>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</si>
  <si>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</si>
  <si>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</si>
  <si>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</si>
  <si>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</si>
  <si>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</si>
  <si>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</si>
  <si>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</si>
  <si>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</si>
  <si>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</si>
  <si>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</si>
  <si>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</si>
  <si>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</si>
  <si>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</si>
  <si>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</si>
  <si>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</si>
  <si>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</si>
  <si>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</si>
  <si>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</si>
  <si>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</si>
  <si>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</si>
  <si>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</si>
  <si>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</si>
  <si>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</si>
  <si>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</si>
  <si>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</si>
  <si>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</si>
  <si>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</si>
  <si>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</si>
  <si>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</si>
  <si>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</si>
  <si>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</si>
  <si>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</si>
  <si>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</si>
  <si>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</si>
  <si>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</si>
  <si>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</si>
  <si>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</si>
  <si>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</si>
  <si>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</si>
  <si>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</si>
  <si>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</si>
  <si>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</si>
  <si>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</si>
  <si>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</si>
  <si>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Shawn Penning</t>
  </si>
  <si>
    <t>Version: 1.01</t>
  </si>
  <si>
    <t>Version: 1.02</t>
  </si>
  <si>
    <t>Version: 2.01</t>
  </si>
  <si>
    <t>2.3.0</t>
  </si>
  <si>
    <t>2013b</t>
  </si>
  <si>
    <t>Testimn</t>
  </si>
  <si>
    <t>SF006A_Testimn_Impl_3.1.0</t>
  </si>
  <si>
    <t>EA4#22127</t>
  </si>
  <si>
    <t>TEstimn.c</t>
  </si>
  <si>
    <t>TEstimn_MDD.docx</t>
  </si>
  <si>
    <t>SF006A_TEstimn_Design</t>
  </si>
  <si>
    <t>3.2.0</t>
  </si>
  <si>
    <t>1.04.00</t>
  </si>
  <si>
    <t>Testimn_IntegrationManual.doc</t>
  </si>
  <si>
    <t xml:space="preserve">Comments: List Anomaly or CR numbers: Anomaly 20644 Issue 1B and  1C were not addressed due to time considerations. Anomaly 19666 issue 4 is a test issue that should be addressed by test team but does not affect design or code. </t>
  </si>
  <si>
    <t>Nakul Shah</t>
  </si>
  <si>
    <t>Brendon Binder</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</si>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</sst>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alignment horizontal="left"/>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4" thickBot="1" x14ac:dyDescent="0.4">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
      <c r="A7" s="85"/>
      <c r="B7" s="85"/>
    </row>
    <row r="8" spans="1:27" s="73" customFormat="1" x14ac:dyDescent="0.2">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60" zoomScaleNormal="160"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9" t="s">
        <v>281</v>
      </c>
      <c r="Y1" s="150"/>
      <c r="Z1" s="151">
        <v>43152</v>
      </c>
      <c r="AA1" s="151"/>
    </row>
    <row r="2" spans="3:27" ht="24" thickBot="1" x14ac:dyDescent="0.4">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5" thickTop="1" x14ac:dyDescent="0.2">
      <c r="Q3" s="3"/>
    </row>
    <row r="4" spans="3:27" ht="13.5" thickBot="1" x14ac:dyDescent="0.25">
      <c r="C4" s="109" t="s">
        <v>0</v>
      </c>
      <c r="D4" s="109"/>
      <c r="E4" s="109"/>
      <c r="F4" s="109"/>
      <c r="G4" s="109"/>
      <c r="H4" s="169" t="s">
        <v>335</v>
      </c>
      <c r="I4" s="165"/>
      <c r="J4" s="165"/>
      <c r="K4" s="165"/>
      <c r="L4" s="165"/>
      <c r="M4" s="165"/>
      <c r="N4" s="26"/>
      <c r="O4" s="109" t="s">
        <v>1</v>
      </c>
      <c r="P4" s="109"/>
      <c r="Q4" s="109"/>
      <c r="R4" s="109"/>
      <c r="S4" s="153" t="s">
        <v>336</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337</v>
      </c>
      <c r="V6" s="154"/>
      <c r="W6" s="154"/>
      <c r="X6" s="154"/>
      <c r="Y6" s="154"/>
      <c r="Z6" s="154"/>
      <c r="AA6" s="154"/>
    </row>
    <row r="8" spans="3:27" x14ac:dyDescent="0.2">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6"/>
      <c r="H31" s="167"/>
      <c r="I31" s="167"/>
      <c r="J31" s="167"/>
      <c r="K31" s="167"/>
      <c r="L31" s="167"/>
      <c r="M31" s="167"/>
      <c r="N31" s="167"/>
      <c r="O31" s="167"/>
      <c r="P31" s="167"/>
      <c r="Q31" s="167"/>
      <c r="R31" s="167"/>
      <c r="S31" s="167"/>
      <c r="T31" s="167"/>
      <c r="U31" s="167"/>
      <c r="V31" s="167"/>
      <c r="W31" s="167"/>
      <c r="X31" s="167"/>
      <c r="Y31" s="167"/>
      <c r="Z31" s="167"/>
      <c r="AA31" s="9"/>
    </row>
    <row r="32" spans="3:27" ht="13.5" thickBot="1" x14ac:dyDescent="0.25">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2</v>
      </c>
      <c r="T37" s="3"/>
      <c r="U37" s="3"/>
      <c r="V37" s="3"/>
      <c r="W37" s="101">
        <v>0.5</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0</v>
      </c>
      <c r="X38" s="3"/>
      <c r="Y38" s="3"/>
      <c r="Z38" s="3"/>
      <c r="AA38" s="101">
        <f>SUM(N37,S37,W37,N38,S38,W38)</f>
        <v>6.5</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5</v>
      </c>
      <c r="T40" s="81"/>
      <c r="U40" s="81"/>
      <c r="V40" s="81"/>
      <c r="W40" s="105">
        <f>SUM(W37,W38,W39)</f>
        <v>0.5</v>
      </c>
      <c r="X40" s="81"/>
      <c r="Y40" s="81"/>
      <c r="Z40" s="81"/>
      <c r="AA40" s="101">
        <f>SUM($N$40,$S$40,$W$40)</f>
        <v>7.5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1">
        <v>100</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5</v>
      </c>
      <c r="AD43" s="142"/>
      <c r="AE43" s="14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9" zoomScale="175" zoomScaleNormal="17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1">
        <f>'Summary Sheet (Template)'!Z1:AA1</f>
        <v>43152</v>
      </c>
      <c r="AA1" s="171"/>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166" t="s">
        <v>15</v>
      </c>
      <c r="R17" s="166"/>
      <c r="S17" s="166"/>
      <c r="T17" s="166"/>
      <c r="U17" s="166"/>
      <c r="V17" s="166"/>
      <c r="W17" s="166"/>
      <c r="X17" s="166"/>
      <c r="Y17" s="166"/>
      <c r="Z17" s="166"/>
      <c r="AA17" s="3"/>
    </row>
    <row r="18" spans="3:27" x14ac:dyDescent="0.2">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0">
        <v>43196</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346</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0" t="str">
        <f>'Summary Sheet (Template)'!X1:Y1</f>
        <v>Rev 2.01</v>
      </c>
      <c r="Y1" s="150"/>
      <c r="Z1" s="171">
        <f>'Summary Sheet (Template)'!Z1:AA1</f>
        <v>43152</v>
      </c>
      <c r="AA1" s="171"/>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4"/>
      <c r="H29" s="154"/>
      <c r="I29" s="154"/>
      <c r="J29" s="154"/>
      <c r="K29" s="154"/>
      <c r="L29" s="154"/>
      <c r="P29" s="15" t="s">
        <v>31</v>
      </c>
      <c r="Q29" s="15"/>
      <c r="R29" s="15"/>
      <c r="S29" s="170"/>
      <c r="T29" s="170"/>
      <c r="AA29" s="9"/>
    </row>
    <row r="30" spans="3:27" x14ac:dyDescent="0.2">
      <c r="C30" s="8"/>
      <c r="AA30" s="9"/>
    </row>
    <row r="31" spans="3:27" ht="13.5" thickBot="1" x14ac:dyDescent="0.25">
      <c r="C31" s="8"/>
      <c r="D31" s="3" t="s">
        <v>32</v>
      </c>
      <c r="E31" s="6"/>
      <c r="F31" s="21"/>
      <c r="G31" s="21"/>
      <c r="H31" s="154"/>
      <c r="I31" s="154"/>
      <c r="J31" s="154"/>
      <c r="K31" s="154"/>
      <c r="L31" s="15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D85" sqref="D85:AA89"/>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0" t="str">
        <f>'Summary Sheet (Template)'!X1:Y1</f>
        <v>Rev 2.01</v>
      </c>
      <c r="Y1" s="150"/>
      <c r="Z1" s="171">
        <f>'Summary Sheet (Template)'!Z1:AA1</f>
        <v>43152</v>
      </c>
      <c r="AA1" s="184"/>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L6" s="84"/>
      <c r="M6" s="18"/>
      <c r="N6" s="18"/>
      <c r="O6" s="4" t="s">
        <v>20</v>
      </c>
      <c r="P6" s="36"/>
      <c r="Q6" s="18"/>
      <c r="R6" s="17" t="s">
        <v>15</v>
      </c>
      <c r="S6" s="22"/>
      <c r="T6" s="17"/>
      <c r="U6" s="186"/>
      <c r="V6" s="186"/>
      <c r="W6" s="186"/>
      <c r="X6" s="186"/>
      <c r="Y6" s="186"/>
      <c r="Z6" s="186"/>
      <c r="AA6" s="186"/>
      <c r="AB6" s="3"/>
      <c r="AC6" s="2"/>
    </row>
    <row r="7" spans="3:29" ht="15.75" customHeight="1" x14ac:dyDescent="0.25">
      <c r="C7" s="185"/>
      <c r="E7" s="85" t="s">
        <v>40</v>
      </c>
      <c r="F7" s="84"/>
      <c r="G7" s="84"/>
      <c r="H7" s="84"/>
      <c r="I7" s="84"/>
      <c r="J7" s="45"/>
      <c r="L7" s="84"/>
      <c r="M7" s="18"/>
      <c r="N7" s="18"/>
      <c r="O7" s="4"/>
      <c r="P7" s="91"/>
      <c r="Q7" s="18"/>
      <c r="R7" s="187"/>
      <c r="S7" s="187"/>
      <c r="T7" s="187"/>
      <c r="U7" s="187"/>
      <c r="V7" s="187"/>
      <c r="W7" s="187"/>
      <c r="X7" s="187"/>
      <c r="Y7" s="187"/>
      <c r="Z7" s="187"/>
      <c r="AA7" s="187"/>
      <c r="AB7" s="3"/>
      <c r="AC7" s="2"/>
    </row>
    <row r="8" spans="3:29" ht="15.75" x14ac:dyDescent="0.25">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E21" s="18" t="s">
        <v>49</v>
      </c>
      <c r="F21" s="19"/>
      <c r="G21" s="18"/>
      <c r="H21" s="18"/>
      <c r="I21" s="20"/>
      <c r="J21" s="20"/>
      <c r="K21" s="20"/>
      <c r="L21" s="18"/>
      <c r="M21" s="18"/>
      <c r="N21" s="18"/>
      <c r="O21" s="4"/>
      <c r="P21" s="3"/>
      <c r="Q21" s="18"/>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ht="15.75" x14ac:dyDescent="0.2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5"/>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75" x14ac:dyDescent="0.25">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5"/>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75" x14ac:dyDescent="0.25">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75" x14ac:dyDescent="0.25">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75" x14ac:dyDescent="0.25">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75" x14ac:dyDescent="0.2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c r="H93" s="154"/>
      <c r="I93" s="154"/>
      <c r="J93" s="154"/>
      <c r="K93" s="154"/>
      <c r="L93" s="154"/>
      <c r="M93" s="72"/>
      <c r="O93" s="15" t="s">
        <v>31</v>
      </c>
      <c r="R93" s="170"/>
      <c r="S93" s="170"/>
      <c r="U93" s="84" t="s">
        <v>87</v>
      </c>
      <c r="Y93" s="170"/>
      <c r="Z93" s="170"/>
      <c r="AB93" s="9"/>
    </row>
    <row r="94" spans="3:29" x14ac:dyDescent="0.2">
      <c r="C94" s="8"/>
      <c r="AB94" s="9"/>
    </row>
    <row r="95" spans="3:29" ht="13.5" thickBot="1" x14ac:dyDescent="0.25">
      <c r="C95" s="8"/>
      <c r="D95" s="3" t="s">
        <v>32</v>
      </c>
      <c r="E95" s="6"/>
      <c r="F95" s="21"/>
      <c r="G95" s="21"/>
      <c r="H95" s="154"/>
      <c r="I95" s="154"/>
      <c r="J95" s="154"/>
      <c r="K95" s="154"/>
      <c r="L95" s="154"/>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5" thickBot="1" x14ac:dyDescent="0.25">
      <c r="C99" s="8"/>
      <c r="D99" s="183"/>
      <c r="E99" s="183"/>
      <c r="F99" s="183"/>
      <c r="G99" s="183"/>
      <c r="H99" s="154"/>
      <c r="I99" s="154"/>
      <c r="J99" s="154"/>
      <c r="K99" s="154"/>
      <c r="L99" s="15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145" zoomScaleNormal="145" workbookViewId="0">
      <selection activeCell="H151" sqref="H15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338</v>
      </c>
      <c r="H4" s="153"/>
      <c r="I4" s="153"/>
      <c r="J4" s="153"/>
      <c r="K4" s="153"/>
      <c r="L4" s="153"/>
      <c r="M4" s="153"/>
      <c r="N4" s="153"/>
      <c r="O4" s="153"/>
      <c r="P4" s="153"/>
      <c r="Q4" s="153"/>
      <c r="R4" s="84"/>
      <c r="S4" s="111" t="s">
        <v>92</v>
      </c>
      <c r="T4" s="111"/>
      <c r="U4" s="111"/>
      <c r="V4" s="40"/>
      <c r="W4" s="153">
        <v>4</v>
      </c>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339</v>
      </c>
      <c r="H7" s="153"/>
      <c r="I7" s="153"/>
      <c r="J7" s="153"/>
      <c r="K7" s="153"/>
      <c r="L7" s="153"/>
      <c r="M7" s="153"/>
      <c r="N7" s="153"/>
      <c r="O7" s="153"/>
      <c r="P7" s="153"/>
      <c r="Q7" s="153"/>
      <c r="R7" s="153"/>
      <c r="S7" s="153"/>
      <c r="T7" s="153"/>
      <c r="U7" s="153"/>
      <c r="V7" s="153"/>
      <c r="W7" s="3"/>
      <c r="X7" s="111" t="s">
        <v>96</v>
      </c>
      <c r="Y7" s="111"/>
      <c r="Z7" s="153">
        <v>4</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340</v>
      </c>
      <c r="H9" s="153"/>
      <c r="I9" s="153"/>
      <c r="J9" s="153"/>
      <c r="K9" s="153"/>
      <c r="L9" s="153"/>
      <c r="M9" s="153"/>
      <c r="N9" s="153"/>
      <c r="O9" s="153"/>
      <c r="P9" s="153"/>
      <c r="Q9" s="153"/>
      <c r="R9" s="153"/>
      <c r="S9" s="153"/>
      <c r="T9" s="153"/>
      <c r="U9" s="153"/>
      <c r="V9" s="153"/>
      <c r="W9" s="3"/>
      <c r="X9" s="111" t="s">
        <v>96</v>
      </c>
      <c r="Y9" s="111"/>
      <c r="Z9" s="153" t="s">
        <v>341</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7" t="s">
        <v>330</v>
      </c>
      <c r="R14" s="187"/>
      <c r="S14" s="187"/>
      <c r="T14" s="187"/>
      <c r="U14" s="187"/>
      <c r="V14" s="187"/>
      <c r="W14" s="187"/>
      <c r="X14" s="187"/>
      <c r="Y14" s="187"/>
      <c r="Z14" s="187"/>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7" t="s">
        <v>331</v>
      </c>
      <c r="R16" s="187"/>
      <c r="S16" s="187"/>
      <c r="T16" s="187"/>
      <c r="U16" s="187"/>
      <c r="V16" s="187"/>
      <c r="W16" s="187"/>
      <c r="X16" s="187"/>
      <c r="Y16" s="187"/>
      <c r="Z16" s="187"/>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t="s">
        <v>221</v>
      </c>
      <c r="P18" s="84"/>
      <c r="Q18" s="166" t="s">
        <v>15</v>
      </c>
      <c r="R18" s="166"/>
      <c r="S18" s="166"/>
      <c r="T18" s="166"/>
      <c r="U18" s="166"/>
      <c r="V18" s="166"/>
      <c r="W18" s="166"/>
      <c r="X18" s="166"/>
      <c r="Y18" s="166"/>
      <c r="Z18" s="166"/>
      <c r="AA18" s="3"/>
      <c r="AB18" s="2"/>
    </row>
    <row r="19" spans="3:28" ht="15.75" x14ac:dyDescent="0.25">
      <c r="C19" s="190"/>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t="s">
        <v>220</v>
      </c>
      <c r="P21" s="84"/>
      <c r="Q21" s="166" t="s">
        <v>15</v>
      </c>
      <c r="R21" s="166"/>
      <c r="S21" s="166"/>
      <c r="T21" s="166"/>
      <c r="U21" s="166"/>
      <c r="V21" s="166"/>
      <c r="W21" s="166"/>
      <c r="X21" s="166"/>
      <c r="Y21" s="166"/>
      <c r="Z21" s="166"/>
      <c r="AA21" s="3"/>
      <c r="AB21" s="2"/>
    </row>
    <row r="22" spans="3:28" ht="15.75" x14ac:dyDescent="0.25">
      <c r="C22" s="190"/>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t="s">
        <v>221</v>
      </c>
      <c r="P24" s="84"/>
      <c r="Q24" s="166" t="s">
        <v>15</v>
      </c>
      <c r="R24" s="166"/>
      <c r="S24" s="166"/>
      <c r="T24" s="166"/>
      <c r="U24" s="166"/>
      <c r="V24" s="166"/>
      <c r="W24" s="166"/>
      <c r="X24" s="166"/>
      <c r="Y24" s="166"/>
      <c r="Z24" s="166"/>
      <c r="AA24" s="3"/>
      <c r="AB24" s="2"/>
    </row>
    <row r="25" spans="3:28" ht="15.75" x14ac:dyDescent="0.25">
      <c r="C25" s="190"/>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t="s">
        <v>221</v>
      </c>
      <c r="P27" s="84"/>
      <c r="Q27" s="166" t="s">
        <v>15</v>
      </c>
      <c r="R27" s="166"/>
      <c r="S27" s="166"/>
      <c r="T27" s="166"/>
      <c r="U27" s="166"/>
      <c r="V27" s="166"/>
      <c r="W27" s="166"/>
      <c r="X27" s="166"/>
      <c r="Y27" s="166"/>
      <c r="Z27" s="166"/>
      <c r="AA27" s="3"/>
      <c r="AB27" s="2"/>
    </row>
    <row r="28" spans="3:28" ht="15.75" x14ac:dyDescent="0.25">
      <c r="C28" s="190"/>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t="s">
        <v>220</v>
      </c>
      <c r="P30" s="84"/>
      <c r="Q30" s="166" t="s">
        <v>15</v>
      </c>
      <c r="R30" s="166"/>
      <c r="S30" s="166"/>
      <c r="T30" s="166"/>
      <c r="U30" s="166"/>
      <c r="V30" s="166"/>
      <c r="W30" s="166"/>
      <c r="X30" s="166"/>
      <c r="Y30" s="166"/>
      <c r="Z30" s="166"/>
      <c r="AA30" s="3"/>
      <c r="AB30" s="2"/>
    </row>
    <row r="31" spans="3:28" ht="15.75" x14ac:dyDescent="0.25">
      <c r="C31" s="190"/>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75" x14ac:dyDescent="0.25">
      <c r="C34" s="190"/>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75" x14ac:dyDescent="0.25">
      <c r="C37" s="190"/>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75" x14ac:dyDescent="0.25">
      <c r="C40" s="190"/>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75" x14ac:dyDescent="0.25">
      <c r="C43" s="190"/>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t="s">
        <v>220</v>
      </c>
      <c r="P46" s="84"/>
      <c r="Q46" s="166" t="s">
        <v>15</v>
      </c>
      <c r="R46" s="166"/>
      <c r="S46" s="166"/>
      <c r="T46" s="166"/>
      <c r="U46" s="166"/>
      <c r="V46" s="166"/>
      <c r="W46" s="166"/>
      <c r="X46" s="166"/>
      <c r="Y46" s="166"/>
      <c r="Z46" s="166"/>
      <c r="AA46" s="3"/>
      <c r="AB46" s="2"/>
    </row>
    <row r="47" spans="3:28" ht="15.75" x14ac:dyDescent="0.25">
      <c r="C47" s="190"/>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t="s">
        <v>220</v>
      </c>
      <c r="P51" s="84"/>
      <c r="Q51" s="166" t="s">
        <v>15</v>
      </c>
      <c r="R51" s="166"/>
      <c r="S51" s="166"/>
      <c r="T51" s="166"/>
      <c r="U51" s="166"/>
      <c r="V51" s="166"/>
      <c r="W51" s="166"/>
      <c r="X51" s="166"/>
      <c r="Y51" s="166"/>
      <c r="Z51" s="166"/>
      <c r="AA51" s="3"/>
      <c r="AB51" s="2"/>
    </row>
    <row r="52" spans="3:28" ht="15.75" x14ac:dyDescent="0.25">
      <c r="C52" s="190"/>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75" x14ac:dyDescent="0.25">
      <c r="C57" s="190"/>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75" x14ac:dyDescent="0.25">
      <c r="C61" s="190"/>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75" x14ac:dyDescent="0.25">
      <c r="C64" s="190"/>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91" t="s">
        <v>332</v>
      </c>
      <c r="R66" s="191"/>
      <c r="S66" s="191"/>
      <c r="T66" s="191"/>
      <c r="U66" s="191"/>
      <c r="V66" s="191"/>
      <c r="W66" s="191"/>
      <c r="X66" s="191"/>
      <c r="Y66" s="191"/>
      <c r="Z66" s="191"/>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t="s">
        <v>220</v>
      </c>
      <c r="P68" s="84"/>
      <c r="Q68" s="166" t="s">
        <v>15</v>
      </c>
      <c r="R68" s="166"/>
      <c r="S68" s="166"/>
      <c r="T68" s="166"/>
      <c r="U68" s="166"/>
      <c r="V68" s="166"/>
      <c r="W68" s="166"/>
      <c r="X68" s="166"/>
      <c r="Y68" s="166"/>
      <c r="Z68" s="166"/>
      <c r="AA68" s="3"/>
      <c r="AB68" s="2"/>
    </row>
    <row r="69" spans="3:28" ht="15.75" x14ac:dyDescent="0.25">
      <c r="C69" s="190"/>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75" x14ac:dyDescent="0.25">
      <c r="C75" s="190"/>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75" x14ac:dyDescent="0.25">
      <c r="C78" s="190"/>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75" x14ac:dyDescent="0.25">
      <c r="C81" s="190"/>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t="s">
        <v>220</v>
      </c>
      <c r="P84" s="84"/>
      <c r="Q84" s="166" t="s">
        <v>15</v>
      </c>
      <c r="R84" s="166"/>
      <c r="S84" s="166"/>
      <c r="T84" s="166"/>
      <c r="U84" s="166"/>
      <c r="V84" s="166"/>
      <c r="W84" s="166"/>
      <c r="X84" s="166"/>
      <c r="Y84" s="166"/>
      <c r="Z84" s="166"/>
      <c r="AA84" s="3"/>
      <c r="AB84" s="2"/>
    </row>
    <row r="85" spans="3:28" ht="15.75" x14ac:dyDescent="0.25">
      <c r="C85" s="190"/>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75" x14ac:dyDescent="0.25">
      <c r="C88" s="190"/>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75" x14ac:dyDescent="0.25">
      <c r="C91" s="190"/>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75" x14ac:dyDescent="0.25">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90"/>
      <c r="D93" s="84"/>
      <c r="E93" s="138" t="s">
        <v>145</v>
      </c>
      <c r="F93" s="138"/>
      <c r="G93" s="138"/>
      <c r="H93" s="138"/>
      <c r="I93" s="45"/>
      <c r="J93" s="45"/>
      <c r="K93" s="45"/>
      <c r="L93" s="138"/>
      <c r="M93" s="138"/>
      <c r="N93" s="138" t="s">
        <v>20</v>
      </c>
      <c r="O93" s="36" t="s">
        <v>220</v>
      </c>
      <c r="P93" s="138"/>
      <c r="Q93" s="166" t="s">
        <v>15</v>
      </c>
      <c r="R93" s="166"/>
      <c r="S93" s="166"/>
      <c r="T93" s="166"/>
      <c r="U93" s="166"/>
      <c r="V93" s="166"/>
      <c r="W93" s="166"/>
      <c r="X93" s="166"/>
      <c r="Y93" s="166"/>
      <c r="Z93" s="166"/>
      <c r="AA93" s="15"/>
      <c r="AB93" s="2"/>
    </row>
    <row r="94" spans="3:28" ht="15.75" x14ac:dyDescent="0.25">
      <c r="C94" s="190"/>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75" x14ac:dyDescent="0.25">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75" x14ac:dyDescent="0.25">
      <c r="C97" s="190"/>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75" x14ac:dyDescent="0.25">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75" x14ac:dyDescent="0.25">
      <c r="C100" s="190"/>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75" x14ac:dyDescent="0.25">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75" x14ac:dyDescent="0.25">
      <c r="C103" s="190"/>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75" x14ac:dyDescent="0.25">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75" x14ac:dyDescent="0.25">
      <c r="C108" s="190"/>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75" x14ac:dyDescent="0.25">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75" x14ac:dyDescent="0.25">
      <c r="C111" s="190"/>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75" x14ac:dyDescent="0.25">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75" x14ac:dyDescent="0.25">
      <c r="C114" s="190"/>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75" x14ac:dyDescent="0.25">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90"/>
      <c r="D116" s="84"/>
      <c r="E116" s="138" t="s">
        <v>161</v>
      </c>
      <c r="F116" s="138"/>
      <c r="G116" s="138"/>
      <c r="H116" s="138"/>
      <c r="I116" s="45"/>
      <c r="J116" s="45"/>
      <c r="K116" s="45"/>
      <c r="L116" s="138"/>
      <c r="M116" s="138"/>
      <c r="N116" s="138" t="s">
        <v>20</v>
      </c>
      <c r="O116" s="36" t="s">
        <v>220</v>
      </c>
      <c r="P116" s="138"/>
      <c r="Q116" s="166" t="s">
        <v>15</v>
      </c>
      <c r="R116" s="166"/>
      <c r="S116" s="166"/>
      <c r="T116" s="166"/>
      <c r="U116" s="166"/>
      <c r="V116" s="166"/>
      <c r="W116" s="166"/>
      <c r="X116" s="166"/>
      <c r="Y116" s="166"/>
      <c r="Z116" s="166"/>
      <c r="AA116" s="15"/>
      <c r="AB116" s="2"/>
    </row>
    <row r="117" spans="3:28" ht="15.75" x14ac:dyDescent="0.25">
      <c r="C117" s="190"/>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75" x14ac:dyDescent="0.25">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t="s">
        <v>220</v>
      </c>
      <c r="P119" s="84"/>
      <c r="Q119" s="166" t="s">
        <v>15</v>
      </c>
      <c r="R119" s="166"/>
      <c r="S119" s="166"/>
      <c r="T119" s="166"/>
      <c r="U119" s="166"/>
      <c r="V119" s="166"/>
      <c r="W119" s="166"/>
      <c r="X119" s="166"/>
      <c r="Y119" s="166"/>
      <c r="Z119" s="166"/>
      <c r="AA119" s="3"/>
      <c r="AB119" s="2"/>
    </row>
    <row r="120" spans="3:28" ht="15.75" x14ac:dyDescent="0.25">
      <c r="C120" s="190"/>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75" x14ac:dyDescent="0.25">
      <c r="C126" s="190"/>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75" x14ac:dyDescent="0.25">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customHeight="1" x14ac:dyDescent="0.25">
      <c r="C129" s="190"/>
      <c r="D129" s="84" t="s">
        <v>171</v>
      </c>
      <c r="E129" s="84"/>
      <c r="F129" s="84"/>
      <c r="G129" s="84"/>
      <c r="H129" s="84"/>
      <c r="I129" s="45"/>
      <c r="J129" s="45"/>
      <c r="K129" s="45"/>
      <c r="L129" s="84"/>
      <c r="M129" s="84"/>
      <c r="N129" s="84" t="s">
        <v>20</v>
      </c>
      <c r="O129" s="36" t="s">
        <v>220</v>
      </c>
      <c r="P129" s="84"/>
      <c r="Q129" s="166" t="s">
        <v>344</v>
      </c>
      <c r="R129" s="166"/>
      <c r="S129" s="166"/>
      <c r="T129" s="166"/>
      <c r="U129" s="166"/>
      <c r="V129" s="166"/>
      <c r="W129" s="166"/>
      <c r="X129" s="166"/>
      <c r="Y129" s="166"/>
      <c r="Z129" s="166"/>
      <c r="AA129" s="3"/>
      <c r="AB129" s="2"/>
    </row>
    <row r="130" spans="3:28" ht="15.75" x14ac:dyDescent="0.25">
      <c r="C130" s="190"/>
      <c r="D130" s="84" t="s">
        <v>173</v>
      </c>
      <c r="E130" s="84"/>
      <c r="F130" s="84"/>
      <c r="G130" s="84"/>
      <c r="H130" s="84"/>
      <c r="I130" s="45"/>
      <c r="J130" s="45"/>
      <c r="K130" s="45"/>
      <c r="L130" s="84"/>
      <c r="M130" s="84"/>
      <c r="N130" s="84"/>
      <c r="O130" s="3"/>
      <c r="P130" s="84"/>
      <c r="Q130" s="166"/>
      <c r="R130" s="166"/>
      <c r="S130" s="166"/>
      <c r="T130" s="166"/>
      <c r="U130" s="166"/>
      <c r="V130" s="166"/>
      <c r="W130" s="166"/>
      <c r="X130" s="166"/>
      <c r="Y130" s="166"/>
      <c r="Z130" s="166"/>
      <c r="AA130" s="3"/>
      <c r="AB130" s="2"/>
    </row>
    <row r="131" spans="3:28" ht="15.75" x14ac:dyDescent="0.25">
      <c r="C131" s="190"/>
      <c r="D131" s="84"/>
      <c r="E131" s="84"/>
      <c r="F131" s="84"/>
      <c r="G131" s="84"/>
      <c r="H131" s="84"/>
      <c r="I131" s="45"/>
      <c r="J131" s="45"/>
      <c r="K131" s="45"/>
      <c r="L131" s="84"/>
      <c r="M131" s="84"/>
      <c r="N131" s="84"/>
      <c r="O131" s="3"/>
      <c r="P131" s="84"/>
      <c r="Q131" s="166"/>
      <c r="R131" s="166"/>
      <c r="S131" s="166"/>
      <c r="T131" s="166"/>
      <c r="U131" s="166"/>
      <c r="V131" s="166"/>
      <c r="W131" s="166"/>
      <c r="X131" s="166"/>
      <c r="Y131" s="166"/>
      <c r="Z131" s="166"/>
      <c r="AA131" s="3"/>
      <c r="AB131" s="2"/>
    </row>
    <row r="132" spans="3:28" ht="15.75" x14ac:dyDescent="0.25">
      <c r="C132" s="84"/>
      <c r="D132" s="84"/>
      <c r="E132" s="84"/>
      <c r="F132" s="84"/>
      <c r="G132" s="84"/>
      <c r="H132" s="84"/>
      <c r="I132" s="45"/>
      <c r="J132" s="45"/>
      <c r="K132" s="45"/>
      <c r="L132" s="84"/>
      <c r="M132" s="84"/>
      <c r="N132" s="84"/>
      <c r="O132" s="84"/>
      <c r="P132" s="84"/>
      <c r="Q132" s="166"/>
      <c r="R132" s="166"/>
      <c r="S132" s="166"/>
      <c r="T132" s="166"/>
      <c r="U132" s="166"/>
      <c r="V132" s="166"/>
      <c r="W132" s="166"/>
      <c r="X132" s="166"/>
      <c r="Y132" s="166"/>
      <c r="Z132" s="166"/>
      <c r="AA132" s="3"/>
      <c r="AB132" s="2"/>
    </row>
    <row r="133" spans="3:28" ht="15.75" x14ac:dyDescent="0.25">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329</v>
      </c>
      <c r="H141" s="153"/>
      <c r="I141" s="153"/>
      <c r="J141" s="153"/>
      <c r="K141" s="153"/>
      <c r="L141" s="153"/>
      <c r="M141" s="84"/>
      <c r="N141" s="84"/>
      <c r="O141" s="84"/>
      <c r="P141" s="15" t="s">
        <v>31</v>
      </c>
      <c r="Q141" s="15"/>
      <c r="R141" s="15"/>
      <c r="S141" s="170">
        <v>43196</v>
      </c>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346</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t="s">
        <v>345</v>
      </c>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218" t="s">
        <v>347</v>
      </c>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2"/>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145" zoomScaleNormal="14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1">
        <f>'Summary Sheet (Template)'!Z1:AA1</f>
        <v>43152</v>
      </c>
      <c r="AA1" s="171"/>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t="s">
        <v>339</v>
      </c>
      <c r="N4" s="133"/>
      <c r="O4" s="133"/>
      <c r="P4" s="133"/>
      <c r="Q4" s="133"/>
      <c r="R4" s="133"/>
      <c r="S4" s="133"/>
      <c r="T4" s="133"/>
      <c r="U4" s="3"/>
      <c r="V4" s="3" t="s">
        <v>178</v>
      </c>
      <c r="W4" s="3"/>
      <c r="X4" s="3"/>
      <c r="Y4" s="153">
        <v>4</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t="s">
        <v>338</v>
      </c>
      <c r="O6" s="133"/>
      <c r="P6" s="133"/>
      <c r="Q6" s="133"/>
      <c r="R6" s="133"/>
      <c r="S6" s="133"/>
      <c r="T6" s="133"/>
      <c r="U6" s="3" t="s">
        <v>92</v>
      </c>
      <c r="V6" s="3"/>
      <c r="W6" s="3"/>
      <c r="X6" s="3"/>
      <c r="Y6" s="153">
        <v>4</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t="s">
        <v>220</v>
      </c>
      <c r="P12" s="84"/>
      <c r="Q12" s="166" t="s">
        <v>15</v>
      </c>
      <c r="R12" s="166"/>
      <c r="S12" s="166"/>
      <c r="T12" s="166"/>
      <c r="U12" s="166"/>
      <c r="V12" s="166"/>
      <c r="W12" s="166"/>
      <c r="X12" s="166"/>
      <c r="Y12" s="166"/>
      <c r="Z12" s="166"/>
      <c r="AA12" s="3"/>
      <c r="AB12" s="2"/>
    </row>
    <row r="13" spans="3:28" ht="15.75" x14ac:dyDescent="0.25">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166" t="s">
        <v>15</v>
      </c>
      <c r="R15" s="166"/>
      <c r="S15" s="166"/>
      <c r="T15" s="166"/>
      <c r="U15" s="166"/>
      <c r="V15" s="166"/>
      <c r="W15" s="166"/>
      <c r="X15" s="166"/>
      <c r="Y15" s="166"/>
      <c r="Z15" s="166"/>
      <c r="AA15" s="3"/>
      <c r="AB15" s="2"/>
    </row>
    <row r="16" spans="3:28" ht="15.75" x14ac:dyDescent="0.25">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166" t="s">
        <v>15</v>
      </c>
      <c r="R18" s="166"/>
      <c r="S18" s="166"/>
      <c r="T18" s="166"/>
      <c r="U18" s="166"/>
      <c r="V18" s="166"/>
      <c r="W18" s="166"/>
      <c r="X18" s="166"/>
      <c r="Y18" s="166"/>
      <c r="Z18" s="166"/>
      <c r="AA18" s="3"/>
      <c r="AB18" s="2"/>
    </row>
    <row r="19" spans="3:28" ht="15.75" x14ac:dyDescent="0.25">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166" t="s">
        <v>15</v>
      </c>
      <c r="R21" s="166"/>
      <c r="S21" s="166"/>
      <c r="T21" s="166"/>
      <c r="U21" s="166"/>
      <c r="V21" s="166"/>
      <c r="W21" s="166"/>
      <c r="X21" s="166"/>
      <c r="Y21" s="166"/>
      <c r="Z21" s="166"/>
      <c r="AA21" s="3"/>
      <c r="AB21" s="2"/>
    </row>
    <row r="22" spans="3:28" ht="15.75" x14ac:dyDescent="0.25">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166" t="s">
        <v>15</v>
      </c>
      <c r="R24" s="166"/>
      <c r="S24" s="166"/>
      <c r="T24" s="166"/>
      <c r="U24" s="166"/>
      <c r="V24" s="166"/>
      <c r="W24" s="166"/>
      <c r="X24" s="166"/>
      <c r="Y24" s="166"/>
      <c r="Z24" s="166"/>
      <c r="AA24" s="3"/>
      <c r="AB24" s="2"/>
    </row>
    <row r="25" spans="3:28" ht="15.75" x14ac:dyDescent="0.25">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66" t="s">
        <v>15</v>
      </c>
      <c r="R27" s="166"/>
      <c r="S27" s="166"/>
      <c r="T27" s="166"/>
      <c r="U27" s="166"/>
      <c r="V27" s="166"/>
      <c r="W27" s="166"/>
      <c r="X27" s="166"/>
      <c r="Y27" s="166"/>
      <c r="Z27" s="166"/>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66" t="s">
        <v>15</v>
      </c>
      <c r="R31" s="166"/>
      <c r="S31" s="166"/>
      <c r="T31" s="166"/>
      <c r="U31" s="166"/>
      <c r="V31" s="166"/>
      <c r="W31" s="166"/>
      <c r="X31" s="166"/>
      <c r="Y31" s="166"/>
      <c r="Z31" s="166"/>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66" t="s">
        <v>15</v>
      </c>
      <c r="R34" s="166"/>
      <c r="S34" s="166"/>
      <c r="T34" s="166"/>
      <c r="U34" s="166"/>
      <c r="V34" s="166"/>
      <c r="W34" s="166"/>
      <c r="X34" s="166"/>
      <c r="Y34" s="166"/>
      <c r="Z34" s="166"/>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329</v>
      </c>
      <c r="H45" s="154"/>
      <c r="I45" s="154"/>
      <c r="J45" s="154"/>
      <c r="K45" s="154"/>
      <c r="L45" s="154"/>
      <c r="P45" s="15" t="s">
        <v>31</v>
      </c>
      <c r="Q45" s="15"/>
      <c r="R45" s="15"/>
      <c r="S45" s="170">
        <v>43196</v>
      </c>
      <c r="T45" s="170"/>
      <c r="AA45" s="9"/>
    </row>
    <row r="46" spans="3:28" x14ac:dyDescent="0.2">
      <c r="C46" s="8"/>
      <c r="AA46" s="9"/>
    </row>
    <row r="47" spans="3:28" ht="13.5" thickBot="1" x14ac:dyDescent="0.25">
      <c r="C47" s="8"/>
      <c r="D47" s="3" t="s">
        <v>32</v>
      </c>
      <c r="E47" s="6"/>
      <c r="F47" s="21"/>
      <c r="G47" s="21"/>
      <c r="H47" s="153" t="s">
        <v>346</v>
      </c>
      <c r="I47" s="154"/>
      <c r="J47" s="154"/>
      <c r="K47" s="154"/>
      <c r="L47" s="154"/>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zoomScale="160" zoomScaleNormal="160" workbookViewId="0">
      <selection activeCell="H47" sqref="H47:L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0" t="str">
        <f>'Summary Sheet (Template)'!X1:Y1</f>
        <v>Rev 2.01</v>
      </c>
      <c r="Y1" s="150"/>
      <c r="Z1" s="171">
        <f>'Summary Sheet (Template)'!Z1:AA1</f>
        <v>43152</v>
      </c>
      <c r="AA1" s="171"/>
      <c r="AB1" s="171"/>
      <c r="AC1" s="171"/>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338</v>
      </c>
      <c r="I4" s="153"/>
      <c r="J4" s="153"/>
      <c r="K4" s="153"/>
      <c r="L4" s="153"/>
      <c r="M4" s="153"/>
      <c r="N4" s="153"/>
      <c r="O4" s="153"/>
      <c r="P4" s="153"/>
      <c r="Q4" s="153"/>
      <c r="R4" s="47"/>
      <c r="S4" s="47"/>
      <c r="T4" s="3"/>
      <c r="U4" s="3"/>
      <c r="V4" s="3"/>
      <c r="W4" s="3" t="s">
        <v>92</v>
      </c>
      <c r="X4" s="3"/>
      <c r="Y4" s="3"/>
      <c r="Z4" s="3"/>
      <c r="AA4" s="153">
        <v>4</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33" t="s">
        <v>342</v>
      </c>
      <c r="R8" s="133"/>
      <c r="S8" s="133"/>
      <c r="T8" s="133"/>
      <c r="U8" s="133"/>
      <c r="V8" s="133"/>
      <c r="W8" s="3"/>
      <c r="X8" s="3"/>
      <c r="Y8" s="3"/>
      <c r="Z8" s="3"/>
      <c r="AA8" s="47"/>
      <c r="AB8" s="47"/>
      <c r="AC8" s="3"/>
      <c r="AD8" s="2"/>
    </row>
    <row r="9" spans="3:30" ht="16.5" thickBot="1" x14ac:dyDescent="0.3">
      <c r="D9" s="111" t="s">
        <v>192</v>
      </c>
      <c r="E9" s="40"/>
      <c r="F9" s="40"/>
      <c r="G9" s="111"/>
      <c r="H9" s="47"/>
      <c r="I9" s="153" t="s">
        <v>334</v>
      </c>
      <c r="J9" s="153"/>
      <c r="K9" s="47"/>
      <c r="L9" s="47"/>
      <c r="M9" s="47"/>
      <c r="N9" s="47"/>
      <c r="O9" s="47"/>
      <c r="P9" s="47"/>
      <c r="Q9" s="47" t="s">
        <v>193</v>
      </c>
      <c r="R9" s="47"/>
      <c r="S9" s="47"/>
      <c r="T9" s="153" t="s">
        <v>333</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75" x14ac:dyDescent="0.25">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75" x14ac:dyDescent="0.25">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6" t="s">
        <v>15</v>
      </c>
      <c r="T20" s="166"/>
      <c r="U20" s="166"/>
      <c r="V20" s="166"/>
      <c r="W20" s="166"/>
      <c r="X20" s="166"/>
      <c r="Y20" s="166"/>
      <c r="Z20" s="166"/>
      <c r="AA20" s="166"/>
      <c r="AB20" s="166"/>
      <c r="AC20" s="3"/>
      <c r="AD20" s="2"/>
    </row>
    <row r="21" spans="3:30" ht="15.75" x14ac:dyDescent="0.25">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75" x14ac:dyDescent="0.25">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75" x14ac:dyDescent="0.25">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75" x14ac:dyDescent="0.25">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75" x14ac:dyDescent="0.25">
      <c r="AB42" s="16"/>
      <c r="AC42" s="16"/>
      <c r="AD42" s="2"/>
    </row>
    <row r="43" spans="3:43"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329</v>
      </c>
      <c r="H45" s="154"/>
      <c r="I45" s="154"/>
      <c r="J45" s="154"/>
      <c r="K45" s="154"/>
      <c r="L45" s="154"/>
      <c r="R45" s="15" t="s">
        <v>31</v>
      </c>
      <c r="S45" s="15"/>
      <c r="T45" s="15"/>
      <c r="U45" s="170">
        <v>43196</v>
      </c>
      <c r="V45" s="170"/>
      <c r="AC45" s="9"/>
    </row>
    <row r="46" spans="3:43" x14ac:dyDescent="0.2">
      <c r="C46" s="8"/>
      <c r="AC46" s="9"/>
    </row>
    <row r="47" spans="3:43" ht="13.5" thickBot="1" x14ac:dyDescent="0.25">
      <c r="C47" s="8"/>
      <c r="D47" s="3" t="s">
        <v>32</v>
      </c>
      <c r="E47" s="6"/>
      <c r="F47" s="21"/>
      <c r="G47" s="21"/>
      <c r="H47" s="153" t="s">
        <v>346</v>
      </c>
      <c r="I47" s="154"/>
      <c r="J47" s="154"/>
      <c r="K47" s="154"/>
      <c r="L47" s="154"/>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H4:Q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5" sqref="V5"/>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1">
        <f>'Summary Sheet (Template)'!Z1:AA1</f>
        <v>43152</v>
      </c>
      <c r="AA1" s="171"/>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t="s">
        <v>343</v>
      </c>
      <c r="J4" s="153"/>
      <c r="K4" s="153"/>
      <c r="L4" s="153"/>
      <c r="M4" s="153"/>
      <c r="N4" s="153"/>
      <c r="O4" s="3"/>
      <c r="P4" s="15"/>
      <c r="Q4" s="111" t="s">
        <v>210</v>
      </c>
      <c r="R4" s="111"/>
      <c r="S4" s="111"/>
      <c r="T4" s="111"/>
      <c r="U4" s="111"/>
      <c r="V4" s="153">
        <v>2</v>
      </c>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75" x14ac:dyDescent="0.25">
      <c r="C9" s="194"/>
      <c r="D9" s="84"/>
      <c r="E9" s="84"/>
      <c r="G9" s="84"/>
      <c r="H9" s="84"/>
      <c r="I9" s="45"/>
      <c r="J9" s="45"/>
      <c r="K9" s="45"/>
      <c r="L9" s="84"/>
      <c r="M9" s="84"/>
      <c r="N9" s="4"/>
      <c r="O9" s="84"/>
      <c r="P9" s="84"/>
      <c r="Q9" s="176"/>
      <c r="R9" s="176"/>
      <c r="S9" s="176"/>
      <c r="T9" s="176"/>
      <c r="U9" s="176"/>
      <c r="V9" s="176"/>
      <c r="W9" s="176"/>
      <c r="X9" s="176"/>
      <c r="Y9" s="176"/>
      <c r="Z9" s="176"/>
      <c r="AA9" s="3"/>
      <c r="AB9" s="2"/>
    </row>
    <row r="10" spans="3:28" ht="15.75" x14ac:dyDescent="0.2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75" x14ac:dyDescent="0.25">
      <c r="C12" s="194"/>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75" x14ac:dyDescent="0.2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75" x14ac:dyDescent="0.25">
      <c r="C15" s="194"/>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75" x14ac:dyDescent="0.2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75" x14ac:dyDescent="0.25">
      <c r="C18" s="194"/>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75" x14ac:dyDescent="0.2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4"/>
      <c r="H28" s="154"/>
      <c r="I28" s="154"/>
      <c r="J28" s="154"/>
      <c r="K28" s="154"/>
      <c r="L28" s="154"/>
      <c r="P28" s="15" t="s">
        <v>31</v>
      </c>
      <c r="Q28" s="15"/>
      <c r="R28" s="15"/>
      <c r="S28" s="170"/>
      <c r="T28" s="170"/>
      <c r="AA28" s="9"/>
    </row>
    <row r="29" spans="3:28" x14ac:dyDescent="0.2">
      <c r="C29" s="8"/>
      <c r="AA29" s="9"/>
    </row>
    <row r="30" spans="3:28" ht="13.5" thickBot="1" x14ac:dyDescent="0.25">
      <c r="C30" s="8"/>
      <c r="D30" s="3" t="s">
        <v>32</v>
      </c>
      <c r="E30" s="6"/>
      <c r="F30" s="21"/>
      <c r="G30" s="21"/>
      <c r="H30" s="154"/>
      <c r="I30" s="154"/>
      <c r="J30" s="154"/>
      <c r="K30" s="154"/>
      <c r="L30" s="154"/>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5" thickBot="1" x14ac:dyDescent="0.25">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67" zoomScale="115" zoomScaleNormal="115" workbookViewId="0">
      <selection activeCell="A106" sqref="A106"/>
    </sheetView>
  </sheetViews>
  <sheetFormatPr defaultRowHeight="12.75" x14ac:dyDescent="0.2"/>
  <sheetData>
    <row r="1" spans="1:6" x14ac:dyDescent="0.2">
      <c r="A1" s="94" t="s">
        <v>245</v>
      </c>
    </row>
    <row r="2" spans="1:6" x14ac:dyDescent="0.2">
      <c r="A2" s="204" t="s">
        <v>246</v>
      </c>
      <c r="B2" s="205"/>
      <c r="C2" s="205"/>
      <c r="D2" s="205"/>
      <c r="E2" s="205"/>
      <c r="F2" s="205"/>
    </row>
    <row r="3" spans="1:6" x14ac:dyDescent="0.2">
      <c r="A3" s="205"/>
      <c r="B3" s="205"/>
      <c r="C3" s="205"/>
      <c r="D3" s="205"/>
      <c r="E3" s="205"/>
      <c r="F3" s="205"/>
    </row>
    <row r="4" spans="1:6" x14ac:dyDescent="0.2">
      <c r="A4" s="205"/>
      <c r="B4" s="205"/>
      <c r="C4" s="205"/>
      <c r="D4" s="205"/>
      <c r="E4" s="205"/>
      <c r="F4" s="205"/>
    </row>
    <row r="5" spans="1:6" x14ac:dyDescent="0.2">
      <c r="A5" s="205"/>
      <c r="B5" s="205"/>
      <c r="C5" s="205"/>
      <c r="D5" s="205"/>
      <c r="E5" s="205"/>
      <c r="F5" s="205"/>
    </row>
    <row r="6" spans="1:6" x14ac:dyDescent="0.2">
      <c r="A6" s="205"/>
      <c r="B6" s="205"/>
      <c r="C6" s="205"/>
      <c r="D6" s="205"/>
      <c r="E6" s="205"/>
      <c r="F6" s="205"/>
    </row>
    <row r="7" spans="1:6" x14ac:dyDescent="0.2">
      <c r="A7" s="205"/>
      <c r="B7" s="205"/>
      <c r="C7" s="205"/>
      <c r="D7" s="205"/>
      <c r="E7" s="205"/>
      <c r="F7" s="205"/>
    </row>
    <row r="8" spans="1:6" x14ac:dyDescent="0.2">
      <c r="A8" s="204" t="s">
        <v>247</v>
      </c>
      <c r="B8" s="205"/>
      <c r="C8" s="205"/>
      <c r="D8" s="205"/>
      <c r="E8" s="205"/>
      <c r="F8" s="205"/>
    </row>
    <row r="9" spans="1:6" x14ac:dyDescent="0.2">
      <c r="A9" s="205"/>
      <c r="B9" s="205"/>
      <c r="C9" s="205"/>
      <c r="D9" s="205"/>
      <c r="E9" s="205"/>
      <c r="F9" s="205"/>
    </row>
    <row r="10" spans="1:6" x14ac:dyDescent="0.2">
      <c r="A10" s="205"/>
      <c r="B10" s="205"/>
      <c r="C10" s="205"/>
      <c r="D10" s="205"/>
      <c r="E10" s="205"/>
      <c r="F10" s="205"/>
    </row>
    <row r="11" spans="1:6" x14ac:dyDescent="0.2">
      <c r="A11" s="205"/>
      <c r="B11" s="205"/>
      <c r="C11" s="205"/>
      <c r="D11" s="205"/>
      <c r="E11" s="205"/>
      <c r="F11" s="205"/>
    </row>
    <row r="12" spans="1:6" x14ac:dyDescent="0.2">
      <c r="A12" s="188" t="s">
        <v>248</v>
      </c>
      <c r="B12" s="206"/>
      <c r="C12" s="206"/>
      <c r="D12" s="206"/>
      <c r="E12" s="206"/>
      <c r="F12" s="206"/>
    </row>
    <row r="13" spans="1:6" x14ac:dyDescent="0.2">
      <c r="A13" s="206"/>
      <c r="B13" s="206"/>
      <c r="C13" s="206"/>
      <c r="D13" s="206"/>
      <c r="E13" s="206"/>
      <c r="F13" s="206"/>
    </row>
    <row r="14" spans="1:6" x14ac:dyDescent="0.2">
      <c r="A14" s="206"/>
      <c r="B14" s="206"/>
      <c r="C14" s="206"/>
      <c r="D14" s="206"/>
      <c r="E14" s="206"/>
      <c r="F14" s="206"/>
    </row>
    <row r="15" spans="1:6" x14ac:dyDescent="0.2">
      <c r="A15" s="189"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9"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9" t="s">
        <v>324</v>
      </c>
      <c r="B24" s="183"/>
      <c r="C24" s="183"/>
      <c r="D24" s="183"/>
      <c r="E24" s="183"/>
      <c r="F24" s="183"/>
    </row>
    <row r="25" spans="1:6" ht="13.15" customHeight="1" x14ac:dyDescent="0.2">
      <c r="A25" s="189"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9"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9"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93"/>
      <c r="B37" s="193"/>
      <c r="C37" s="193"/>
      <c r="D37" s="193"/>
      <c r="E37" s="193"/>
    </row>
    <row r="38" spans="1:6" x14ac:dyDescent="0.2">
      <c r="A38" s="189"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93"/>
      <c r="B41" s="193"/>
      <c r="C41" s="193"/>
      <c r="D41" s="193"/>
      <c r="E41" s="193"/>
    </row>
    <row r="42" spans="1:6" x14ac:dyDescent="0.2">
      <c r="A42" s="193"/>
      <c r="B42" s="193"/>
      <c r="C42" s="193"/>
      <c r="D42" s="193"/>
      <c r="E42" s="193"/>
    </row>
    <row r="43" spans="1:6" ht="13.15" customHeight="1" x14ac:dyDescent="0.2">
      <c r="A43" s="189" t="s">
        <v>282</v>
      </c>
      <c r="B43" s="189"/>
      <c r="C43" s="189"/>
      <c r="D43" s="189"/>
      <c r="E43" s="189"/>
    </row>
    <row r="44" spans="1:6" x14ac:dyDescent="0.2">
      <c r="A44" s="189"/>
      <c r="B44" s="189"/>
      <c r="C44" s="189"/>
      <c r="D44" s="189"/>
      <c r="E44" s="189"/>
    </row>
    <row r="45" spans="1:6" x14ac:dyDescent="0.2">
      <c r="A45" s="189"/>
      <c r="B45" s="189"/>
      <c r="C45" s="189"/>
      <c r="D45" s="189"/>
      <c r="E45" s="189"/>
    </row>
    <row r="46" spans="1:6" x14ac:dyDescent="0.2">
      <c r="A46" s="189"/>
      <c r="B46" s="189"/>
      <c r="C46" s="189"/>
      <c r="D46" s="189"/>
      <c r="E46" s="189"/>
    </row>
    <row r="47" spans="1:6" x14ac:dyDescent="0.2">
      <c r="A47" s="189"/>
      <c r="B47" s="189"/>
      <c r="C47" s="189"/>
      <c r="D47" s="189"/>
      <c r="E47" s="189"/>
    </row>
    <row r="48" spans="1:6" x14ac:dyDescent="0.2">
      <c r="A48" s="193"/>
      <c r="B48" s="193"/>
      <c r="C48" s="193"/>
      <c r="D48" s="193"/>
      <c r="E48" s="193"/>
    </row>
    <row r="49" spans="1:5" x14ac:dyDescent="0.2">
      <c r="A49" s="193"/>
      <c r="B49" s="193"/>
      <c r="C49" s="193"/>
      <c r="D49" s="193"/>
      <c r="E49" s="193"/>
    </row>
    <row r="50" spans="1:5" x14ac:dyDescent="0.2">
      <c r="A50" s="189" t="s">
        <v>283</v>
      </c>
      <c r="B50" s="189"/>
      <c r="C50" s="189"/>
      <c r="D50" s="189"/>
      <c r="E50" s="189"/>
    </row>
    <row r="51" spans="1:5" x14ac:dyDescent="0.2">
      <c r="A51" s="189"/>
      <c r="B51" s="189"/>
      <c r="C51" s="189"/>
      <c r="D51" s="189"/>
      <c r="E51" s="189"/>
    </row>
    <row r="52" spans="1:5" x14ac:dyDescent="0.2">
      <c r="A52" s="189" t="s">
        <v>266</v>
      </c>
      <c r="B52" s="189"/>
      <c r="C52" s="189"/>
      <c r="D52" s="189"/>
      <c r="E52" s="189"/>
    </row>
    <row r="53" spans="1:5" x14ac:dyDescent="0.2">
      <c r="A53" s="189"/>
      <c r="B53" s="189"/>
      <c r="C53" s="189"/>
      <c r="D53" s="189"/>
      <c r="E53" s="189"/>
    </row>
    <row r="54" spans="1:5" x14ac:dyDescent="0.2">
      <c r="A54" s="189"/>
      <c r="B54" s="189"/>
      <c r="C54" s="189"/>
      <c r="D54" s="189"/>
      <c r="E54" s="189"/>
    </row>
    <row r="55" spans="1:5" x14ac:dyDescent="0.2">
      <c r="A55" s="193"/>
      <c r="B55" s="193"/>
      <c r="C55" s="193"/>
      <c r="D55" s="193"/>
      <c r="E55" s="193"/>
    </row>
    <row r="56" spans="1:5" x14ac:dyDescent="0.2">
      <c r="A56" s="193"/>
      <c r="B56" s="193"/>
      <c r="C56" s="193"/>
      <c r="D56" s="193"/>
      <c r="E56" s="193"/>
    </row>
    <row r="57" spans="1:5" x14ac:dyDescent="0.2">
      <c r="A57" s="189" t="s">
        <v>267</v>
      </c>
      <c r="B57" s="189"/>
      <c r="C57" s="189"/>
      <c r="D57" s="189"/>
      <c r="E57" s="189"/>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9" t="s">
        <v>284</v>
      </c>
      <c r="B61" s="189"/>
      <c r="C61" s="189"/>
      <c r="D61" s="189"/>
      <c r="E61" s="189"/>
    </row>
    <row r="62" spans="1:5" x14ac:dyDescent="0.2">
      <c r="A62" s="183"/>
      <c r="B62" s="183"/>
      <c r="C62" s="183"/>
      <c r="D62" s="183"/>
      <c r="E62" s="183"/>
    </row>
    <row r="63" spans="1:5" x14ac:dyDescent="0.2">
      <c r="A63" s="183"/>
      <c r="B63" s="183"/>
      <c r="C63" s="183"/>
      <c r="D63" s="183"/>
      <c r="E63" s="183"/>
    </row>
    <row r="64" spans="1:5" x14ac:dyDescent="0.2">
      <c r="A64" s="189"/>
      <c r="B64" s="189"/>
      <c r="C64" s="189"/>
      <c r="D64" s="189"/>
      <c r="E64" s="18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9" t="s">
        <v>289</v>
      </c>
      <c r="B69" s="189"/>
      <c r="C69" s="189"/>
      <c r="D69" s="189"/>
      <c r="E69" s="189"/>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6"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203"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203"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199" t="s">
        <v>254</v>
      </c>
      <c r="B108" s="199"/>
      <c r="C108" s="199"/>
      <c r="D108" s="198" t="s">
        <v>255</v>
      </c>
      <c r="E108" s="198"/>
      <c r="F108" s="198"/>
      <c r="G108" s="198" t="s">
        <v>256</v>
      </c>
      <c r="H108" s="198"/>
      <c r="I108" s="198"/>
    </row>
    <row r="109" spans="1:16" ht="15" customHeight="1" x14ac:dyDescent="0.2">
      <c r="A109" s="200" t="s">
        <v>257</v>
      </c>
      <c r="B109" s="201"/>
      <c r="C109" s="201"/>
      <c r="D109" s="197" t="s">
        <v>258</v>
      </c>
      <c r="E109" s="197"/>
      <c r="F109" s="197"/>
      <c r="G109" s="197" t="s">
        <v>258</v>
      </c>
      <c r="H109" s="197"/>
      <c r="I109" s="197"/>
    </row>
    <row r="110" spans="1:16" ht="86.45" customHeight="1" x14ac:dyDescent="0.2">
      <c r="A110" s="200" t="s">
        <v>318</v>
      </c>
      <c r="B110" s="201"/>
      <c r="C110" s="201"/>
      <c r="D110" s="197" t="s">
        <v>298</v>
      </c>
      <c r="E110" s="197"/>
      <c r="F110" s="197"/>
      <c r="G110" s="197" t="s">
        <v>259</v>
      </c>
      <c r="H110" s="197"/>
      <c r="I110" s="197"/>
    </row>
    <row r="111" spans="1:16" ht="10.15" customHeight="1" x14ac:dyDescent="0.2">
      <c r="A111" s="200"/>
      <c r="B111" s="201"/>
      <c r="C111" s="201"/>
      <c r="D111" s="197"/>
      <c r="E111" s="197"/>
      <c r="F111" s="197"/>
      <c r="G111" s="197"/>
      <c r="H111" s="197"/>
      <c r="I111" s="197"/>
    </row>
    <row r="112" spans="1:16" ht="86.45" customHeight="1" x14ac:dyDescent="0.2">
      <c r="A112" s="200" t="s">
        <v>260</v>
      </c>
      <c r="B112" s="201"/>
      <c r="C112" s="201"/>
      <c r="D112" s="197" t="s">
        <v>317</v>
      </c>
      <c r="E112" s="197"/>
      <c r="F112" s="197"/>
      <c r="G112" s="197" t="s">
        <v>261</v>
      </c>
      <c r="H112" s="197"/>
      <c r="I112" s="197"/>
    </row>
    <row r="113" spans="1:9" ht="109.9" customHeight="1" x14ac:dyDescent="0.2">
      <c r="A113" s="200"/>
      <c r="B113" s="201"/>
      <c r="C113" s="201"/>
      <c r="D113" s="197"/>
      <c r="E113" s="197"/>
      <c r="F113" s="197"/>
      <c r="G113" s="197"/>
      <c r="H113" s="197"/>
      <c r="I113" s="197"/>
    </row>
    <row r="114" spans="1:9" ht="36.6" hidden="1" customHeight="1" x14ac:dyDescent="0.2">
      <c r="A114" s="200"/>
      <c r="B114" s="201"/>
      <c r="C114" s="201"/>
      <c r="D114" s="197"/>
      <c r="E114" s="197"/>
      <c r="F114" s="197"/>
      <c r="G114" s="197"/>
      <c r="H114" s="197"/>
      <c r="I114" s="197"/>
    </row>
    <row r="115" spans="1:9" ht="47.45" hidden="1" customHeight="1" x14ac:dyDescent="0.2">
      <c r="A115" s="200"/>
      <c r="B115" s="201"/>
      <c r="C115" s="201"/>
      <c r="D115" s="197"/>
      <c r="E115" s="197"/>
      <c r="F115" s="197"/>
      <c r="G115" s="197"/>
      <c r="H115" s="197"/>
      <c r="I115" s="197"/>
    </row>
    <row r="116" spans="1:9" ht="58.15" hidden="1" customHeight="1" x14ac:dyDescent="0.2">
      <c r="A116" s="200"/>
      <c r="B116" s="201"/>
      <c r="C116" s="201"/>
      <c r="D116" s="197"/>
      <c r="E116" s="197"/>
      <c r="F116" s="197"/>
      <c r="G116" s="197"/>
      <c r="H116" s="197"/>
      <c r="I116" s="197"/>
    </row>
    <row r="117" spans="1:9" ht="43.9" customHeight="1" x14ac:dyDescent="0.2">
      <c r="A117" s="197" t="s">
        <v>262</v>
      </c>
      <c r="B117" s="202"/>
      <c r="C117" s="202"/>
      <c r="D117" s="197" t="s">
        <v>263</v>
      </c>
      <c r="E117" s="197"/>
      <c r="F117" s="197"/>
      <c r="G117" s="197" t="s">
        <v>259</v>
      </c>
      <c r="H117" s="197"/>
      <c r="I117" s="197"/>
    </row>
    <row r="118" spans="1:9" ht="14.45" customHeight="1" x14ac:dyDescent="0.2">
      <c r="A118" s="197" t="s">
        <v>264</v>
      </c>
      <c r="B118" s="202"/>
      <c r="C118" s="202"/>
      <c r="D118" s="197" t="s">
        <v>223</v>
      </c>
      <c r="E118" s="197"/>
      <c r="F118" s="197"/>
      <c r="G118" s="197" t="s">
        <v>223</v>
      </c>
      <c r="H118" s="197"/>
      <c r="I118" s="197"/>
    </row>
    <row r="119" spans="1:9" ht="22.9" customHeight="1" x14ac:dyDescent="0.2">
      <c r="A119" s="197"/>
      <c r="B119" s="202"/>
      <c r="C119" s="202"/>
      <c r="D119" s="197"/>
      <c r="E119" s="197"/>
      <c r="F119" s="197"/>
      <c r="G119" s="197"/>
      <c r="H119" s="197"/>
      <c r="I119" s="197"/>
    </row>
    <row r="120" spans="1:9" ht="15" x14ac:dyDescent="0.2">
      <c r="A120" s="92"/>
      <c r="B120" s="85"/>
      <c r="C120" s="85"/>
      <c r="D120" s="85"/>
      <c r="E120" s="85"/>
      <c r="F120" s="85"/>
      <c r="G120" s="85"/>
      <c r="H120" s="85"/>
      <c r="I120" s="85"/>
    </row>
    <row r="121" spans="1:9" x14ac:dyDescent="0.2">
      <c r="A121" s="196" t="s">
        <v>326</v>
      </c>
      <c r="B121" s="193"/>
      <c r="C121" s="193"/>
      <c r="D121" s="193"/>
      <c r="E121" s="193"/>
      <c r="F121" s="193"/>
      <c r="G121" s="193"/>
      <c r="H121" s="193"/>
      <c r="I121" s="193"/>
    </row>
    <row r="122" spans="1:9" x14ac:dyDescent="0.2">
      <c r="A122" s="193"/>
      <c r="B122" s="193"/>
      <c r="C122" s="193"/>
      <c r="D122" s="193"/>
      <c r="E122" s="193"/>
      <c r="F122" s="193"/>
      <c r="G122" s="193"/>
      <c r="H122" s="193"/>
      <c r="I122" s="193"/>
    </row>
    <row r="123" spans="1:9" x14ac:dyDescent="0.2">
      <c r="A123" s="193"/>
      <c r="B123" s="193"/>
      <c r="C123" s="193"/>
      <c r="D123" s="193"/>
      <c r="E123" s="193"/>
      <c r="F123" s="193"/>
      <c r="G123" s="193"/>
      <c r="H123" s="193"/>
      <c r="I123" s="193"/>
    </row>
    <row r="124" spans="1:9" x14ac:dyDescent="0.2">
      <c r="A124" s="193"/>
      <c r="B124" s="193"/>
      <c r="C124" s="193"/>
      <c r="D124" s="193"/>
      <c r="E124" s="193"/>
      <c r="F124" s="193"/>
      <c r="G124" s="193"/>
      <c r="H124" s="193"/>
      <c r="I124" s="193"/>
    </row>
    <row r="125" spans="1:9" x14ac:dyDescent="0.2">
      <c r="A125" s="193"/>
      <c r="B125" s="193"/>
      <c r="C125" s="193"/>
      <c r="D125" s="193"/>
      <c r="E125" s="193"/>
      <c r="F125" s="193"/>
      <c r="G125" s="193"/>
      <c r="H125" s="193"/>
      <c r="I125" s="193"/>
    </row>
    <row r="126" spans="1:9" x14ac:dyDescent="0.2">
      <c r="A126" s="193"/>
      <c r="B126" s="193"/>
      <c r="C126" s="193"/>
      <c r="D126" s="193"/>
      <c r="E126" s="193"/>
      <c r="F126" s="193"/>
      <c r="G126" s="193"/>
      <c r="H126" s="193"/>
      <c r="I126" s="193"/>
    </row>
    <row r="127" spans="1:9" x14ac:dyDescent="0.2">
      <c r="A127" s="193"/>
      <c r="B127" s="193"/>
      <c r="C127" s="193"/>
      <c r="D127" s="193"/>
      <c r="E127" s="193"/>
      <c r="F127" s="193"/>
      <c r="G127" s="193"/>
      <c r="H127" s="193"/>
      <c r="I127" s="193"/>
    </row>
    <row r="128" spans="1:9" x14ac:dyDescent="0.2">
      <c r="A128" s="193"/>
      <c r="B128" s="193"/>
      <c r="C128" s="193"/>
      <c r="D128" s="193"/>
      <c r="E128" s="193"/>
      <c r="F128" s="193"/>
      <c r="G128" s="193"/>
      <c r="H128" s="193"/>
      <c r="I128" s="193"/>
    </row>
    <row r="129" spans="1:9" x14ac:dyDescent="0.2">
      <c r="A129" s="193"/>
      <c r="B129" s="193"/>
      <c r="C129" s="193"/>
      <c r="D129" s="193"/>
      <c r="E129" s="193"/>
      <c r="F129" s="193"/>
      <c r="G129" s="193"/>
      <c r="H129" s="193"/>
      <c r="I129" s="193"/>
    </row>
    <row r="130" spans="1:9" x14ac:dyDescent="0.2">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75" x14ac:dyDescent="0.2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75" x14ac:dyDescent="0.2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75" x14ac:dyDescent="0.2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75" x14ac:dyDescent="0.2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75" x14ac:dyDescent="0.2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75" x14ac:dyDescent="0.2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75" x14ac:dyDescent="0.2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75" x14ac:dyDescent="0.2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75" x14ac:dyDescent="0.2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75" x14ac:dyDescent="0.25">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75" x14ac:dyDescent="0.2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75" x14ac:dyDescent="0.25">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75" x14ac:dyDescent="0.2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75" x14ac:dyDescent="0.25">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75" x14ac:dyDescent="0.2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75" x14ac:dyDescent="0.25">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75" x14ac:dyDescent="0.2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75" x14ac:dyDescent="0.2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75" x14ac:dyDescent="0.2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75" x14ac:dyDescent="0.2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75" x14ac:dyDescent="0.2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75" x14ac:dyDescent="0.2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75" x14ac:dyDescent="0.2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75" x14ac:dyDescent="0.2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75" x14ac:dyDescent="0.2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75" x14ac:dyDescent="0.2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75" x14ac:dyDescent="0.2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75" x14ac:dyDescent="0.25">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75" x14ac:dyDescent="0.25">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75" x14ac:dyDescent="0.25">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75" x14ac:dyDescent="0.25">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75" x14ac:dyDescent="0.25">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75" x14ac:dyDescent="0.25">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75" x14ac:dyDescent="0.25">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75" x14ac:dyDescent="0.25">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75" x14ac:dyDescent="0.25">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75" x14ac:dyDescent="0.2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75" x14ac:dyDescent="0.25">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75" x14ac:dyDescent="0.2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84"/>
      <c r="AB1" s="85"/>
      <c r="AC1" s="85"/>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25">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75" x14ac:dyDescent="0.25">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75" x14ac:dyDescent="0.2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75" x14ac:dyDescent="0.25">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75" x14ac:dyDescent="0.25">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75" x14ac:dyDescent="0.2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75" x14ac:dyDescent="0.25">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75" x14ac:dyDescent="0.25">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4"/>
      <c r="H93" s="154"/>
      <c r="I93" s="154"/>
      <c r="J93" s="154"/>
      <c r="K93" s="154"/>
      <c r="L93" s="154"/>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85"/>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75" x14ac:dyDescent="0.25">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75" x14ac:dyDescent="0.25">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75" x14ac:dyDescent="0.25">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4"/>
      <c r="H45" s="154"/>
      <c r="I45" s="154"/>
      <c r="J45" s="154"/>
      <c r="K45" s="154"/>
      <c r="L45" s="154"/>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171"/>
      <c r="AC1" s="171"/>
      <c r="AD1" s="85"/>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75" x14ac:dyDescent="0.25">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75" x14ac:dyDescent="0.25">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75" x14ac:dyDescent="0.25">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75" x14ac:dyDescent="0.25">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75" x14ac:dyDescent="0.2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75" x14ac:dyDescent="0.2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75" x14ac:dyDescent="0.2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4"/>
      <c r="H45" s="154"/>
      <c r="I45" s="154"/>
      <c r="J45" s="154"/>
      <c r="K45" s="154"/>
      <c r="L45" s="154"/>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75" x14ac:dyDescent="0.25">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75" x14ac:dyDescent="0.2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75" x14ac:dyDescent="0.25">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75" x14ac:dyDescent="0.2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75" x14ac:dyDescent="0.25">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75" x14ac:dyDescent="0.2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75" x14ac:dyDescent="0.25">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75" x14ac:dyDescent="0.2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75"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75"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75"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4"/>
      <c r="H28" s="154"/>
      <c r="I28" s="154"/>
      <c r="J28" s="154"/>
      <c r="K28" s="154"/>
      <c r="L28" s="154"/>
      <c r="M28" s="85"/>
      <c r="N28" s="85"/>
      <c r="O28" s="85"/>
      <c r="P28" s="15" t="s">
        <v>31</v>
      </c>
      <c r="Q28" s="15"/>
      <c r="R28" s="15"/>
      <c r="S28" s="170"/>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5" thickBot="1" x14ac:dyDescent="0.25">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1">
        <f>'Summary Sheet (Template)'!Z1:AA1</f>
        <v>43152</v>
      </c>
      <c r="AA1" s="171"/>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4"/>
      <c r="H29" s="154"/>
      <c r="I29" s="154"/>
      <c r="J29" s="154"/>
      <c r="K29" s="154"/>
      <c r="L29" s="154"/>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1">
        <f>'Summary Sheet (Template)'!Z1:AA1</f>
        <v>43152</v>
      </c>
      <c r="AA1" s="171"/>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
      <c r="C9" s="17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
      <c r="C12" s="17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
      <c r="C15" s="17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
      <c r="C18" s="17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9" t="s">
        <v>237</v>
      </c>
      <c r="C24" s="129" t="s">
        <v>238</v>
      </c>
      <c r="D24" s="123" t="s">
        <v>302</v>
      </c>
      <c r="E24" s="124">
        <v>43068</v>
      </c>
      <c r="F24" s="212" t="s">
        <v>314</v>
      </c>
      <c r="G24" s="209" t="s">
        <v>310</v>
      </c>
      <c r="H24" s="215" t="s">
        <v>311</v>
      </c>
    </row>
    <row r="25" spans="2:8" ht="191.25" x14ac:dyDescent="0.2">
      <c r="B25" s="210"/>
      <c r="C25" s="129" t="s">
        <v>239</v>
      </c>
      <c r="D25" s="123" t="s">
        <v>302</v>
      </c>
      <c r="E25" s="124">
        <v>43068</v>
      </c>
      <c r="F25" s="213"/>
      <c r="G25" s="210"/>
      <c r="H25" s="216"/>
    </row>
    <row r="26" spans="2:8" ht="38.25" x14ac:dyDescent="0.2">
      <c r="B26" s="210"/>
      <c r="C26" s="129" t="s">
        <v>240</v>
      </c>
      <c r="D26" s="123" t="s">
        <v>302</v>
      </c>
      <c r="E26" s="124">
        <v>43068</v>
      </c>
      <c r="F26" s="213"/>
      <c r="G26" s="210"/>
      <c r="H26" s="216"/>
    </row>
    <row r="27" spans="2:8" ht="102" x14ac:dyDescent="0.2">
      <c r="B27" s="210"/>
      <c r="C27" s="129" t="s">
        <v>241</v>
      </c>
      <c r="D27" s="123" t="s">
        <v>302</v>
      </c>
      <c r="E27" s="124">
        <v>43068</v>
      </c>
      <c r="F27" s="213"/>
      <c r="G27" s="210"/>
      <c r="H27" s="216"/>
    </row>
    <row r="28" spans="2:8" ht="102" x14ac:dyDescent="0.2">
      <c r="B28" s="211"/>
      <c r="C28" s="129" t="s">
        <v>242</v>
      </c>
      <c r="D28" s="123" t="s">
        <v>302</v>
      </c>
      <c r="E28" s="124">
        <v>43068</v>
      </c>
      <c r="F28" s="214"/>
      <c r="G28" s="211"/>
      <c r="H28" s="217"/>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35E4399-2B75-433C-B26B-13A3E369D156}">
  <ds:schemaRef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www.w3.org/XML/1998/namespace"/>
    <ds:schemaRef ds:uri="c9c0f3e0-da94-4cec-aad1-c017e7c04c57"/>
    <ds:schemaRef ds:uri="http://schemas.microsoft.com/office/2006/metadata/properties"/>
    <ds:schemaRef ds:uri="http://purl.org/dc/elements/1.1/"/>
    <ds:schemaRef ds:uri="9dfb6c42-d8dd-4ad2-a71a-c1f997339b44"/>
    <ds:schemaRef ds:uri="http://purl.org/dc/dcmitype/"/>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2018-04-06T20:21:19Z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