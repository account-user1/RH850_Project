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SF034B_AssiPahSum_Impl\doc\"/>
    </mc:Choice>
  </mc:AlternateContent>
  <bookViews>
    <workbookView xWindow="195" yWindow="30"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H47" i="871"/>
  <c r="S45" i="871"/>
  <c r="G45" i="871"/>
  <c r="T34" i="869"/>
  <c r="N34" i="869"/>
  <c r="H34" i="869"/>
  <c r="T32" i="869"/>
  <c r="N32" i="869"/>
  <c r="H32" i="869"/>
  <c r="H30" i="869"/>
  <c r="S28" i="869"/>
  <c r="G28" i="869"/>
  <c r="T47" i="870"/>
  <c r="N47" i="870"/>
  <c r="H47" i="870"/>
  <c r="T45" i="870"/>
  <c r="N45" i="870"/>
  <c r="H45" i="870"/>
  <c r="H43" i="870"/>
  <c r="S41" i="870"/>
  <c r="G41" i="870"/>
  <c r="T131" i="872"/>
  <c r="N131" i="872"/>
  <c r="H131" i="872"/>
  <c r="T129" i="872"/>
  <c r="N129" i="872"/>
  <c r="H129" i="872"/>
  <c r="H127" i="872"/>
  <c r="S125" i="872"/>
  <c r="G125" i="872"/>
  <c r="T82" i="873"/>
  <c r="N82" i="873"/>
  <c r="H82" i="873"/>
  <c r="T80" i="873"/>
  <c r="N80" i="873"/>
  <c r="H80" i="873"/>
  <c r="Q76" i="873"/>
  <c r="H78" i="873"/>
  <c r="G76"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<sst xmlns="http://schemas.openxmlformats.org/spreadsheetml/2006/main" count="987" uniqueCount="220">
  <si>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</si>
  <si>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</si>
  <si>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</si>
  <si>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</si>
  <si>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</si>
  <si>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</si>
  <si>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</si>
  <si>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</si>
  <si>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</si>
  <si>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</si>
  <si>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</si>
  <si>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</si>
  <si>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</si>
  <si>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</si>
  <si>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</si>
  <si>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</si>
  <si>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</si>
  <si>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</si>
  <si>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</si>
  <si>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</si>
  <si>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</si>
  <si>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</si>
  <si>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</si>
  <si>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</si>
  <si>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</si>
  <si>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</si>
  <si>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</si>
  <si>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</si>
  <si>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</si>
  <si>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</si>
  <si>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</si>
  <si>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</si>
  <si>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</si>
  <si>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</si>
  <si>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</si>
  <si>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</si>
  <si>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</si>
  <si>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</si>
  <si>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</si>
  <si>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</si>
  <si>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</si>
  <si>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</si>
  <si>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</si>
  <si>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</si>
  <si>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</si>
  <si>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</si>
  <si>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</si>
  <si>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</si>
  <si>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</si>
  <si>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</si>
  <si>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</si>
  <si>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</si>
  <si>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</si>
  <si>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</si>
  <si>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</si>
  <si>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</si>
  <si>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</si>
  <si>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</si>
  <si>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</si>
  <si>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</si>
  <si>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</si>
  <si>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</si>
  <si>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</si>
  <si>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</si>
  <si>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</si>
  <si>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</si>
  <si>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</si>
  <si>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</si>
  <si>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</si>
  <si>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</si>
  <si>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</si>
  <si>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</si>
  <si>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</si>
  <si>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</si>
  <si>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</si>
  <si>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</si>
  <si>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</si>
  <si>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</si>
  <si>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</si>
  <si>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</si>
  <si>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</si>
  <si>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</si>
  <si>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</si>
  <si>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</si>
  <si>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</si>
  <si>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</si>
  <si>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</si>
  <si>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</si>
  <si>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</si>
  <si>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</si>
  <si>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</si>
  <si>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</si>
  <si>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</si>
  <si>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</si>
  <si>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</si>
  <si>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</si>
  <si>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</si>
  <si>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</si>
  <si>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</si>
  <si>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</si>
  <si>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</si>
  <si>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</si>
  <si>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</si>
  <si>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</si>
  <si>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</si>
  <si>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</si>
  <si>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</si>
  <si>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</si>
  <si>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</si>
  <si>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</si>
  <si>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</si>
  <si>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</si>
  <si>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</si>
  <si>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</si>
  <si>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</si>
  <si>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</si>
  <si>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</si>
  <si>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</si>
  <si>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</si>
  <si>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</si>
  <si>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</si>
  <si>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</si>
  <si>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</si>
  <si>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</si>
  <si>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</si>
  <si>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</si>
  <si>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</si>
  <si>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</si>
  <si>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</si>
  <si>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</si>
  <si>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</si>
  <si>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</si>
  <si>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</si>
  <si>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</si>
  <si>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</si>
  <si>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</si>
  <si>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</si>
  <si>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</si>
  <si>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</si>
  <si>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</si>
  <si>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</si>
  <si>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</si>
  <si>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</si>
  <si>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</si>
  <si>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</si>
  <si>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</si>
  <si>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</si>
  <si>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</si>
  <si>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</si>
  <si>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</si>
  <si>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</si>
  <si>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</si>
  <si>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</si>
  <si>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</si>
  <si>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</si>
  <si>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</si>
  <si>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</si>
  <si>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</si>
  <si>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</si>
  <si>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</si>
  <si>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</si>
  <si>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</si>
  <si>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</si>
  <si>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</si>
  <si>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</si>
  <si>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</si>
  <si>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</si>
  <si>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</si>
  <si>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</si>
  <si>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</si>
  <si>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</si>
  <si>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</si>
  <si>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</si>
  <si>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</si>
  <si>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</si>
  <si>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</si>
  <si>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</si>
  <si>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</si>
  <si>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</si>
  <si>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</si>
  <si>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</si>
  <si>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</si>
  <si>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</si>
  <si>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</si>
  <si>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</si>
  <si>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</si>
  <si>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</si>
  <si>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</si>
  <si>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</si>
  <si>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</si>
  <si>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</si>
  <si>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</si>
  <si>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</si>
  <si>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</si>
  <si>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</si>
  <si>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</si>
  <si>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</si>
  <si>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</si>
  <si>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</si>
  <si>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</si>
  <si>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</si>
  <si>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</si>
  <si>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</si>
  <si>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</si>
  <si>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</si>
  <si>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Brendon Binder</t>
  </si>
  <si>
    <t>Matt Leser</t>
  </si>
  <si>
    <t>2013B</t>
  </si>
  <si>
    <t>AssiPahSum.c</t>
  </si>
  <si>
    <t>AssiPahSum_MDD.docx</t>
  </si>
  <si>
    <t>SF034B_AssiPahSum_Design</t>
  </si>
  <si>
    <t>1.0.0</t>
  </si>
  <si>
    <t>Application</t>
  </si>
  <si>
    <t>SF034B_AssiPahSum</t>
  </si>
  <si>
    <t>SF034B_AssiPahSum_Impl_1.1.0</t>
  </si>
  <si>
    <t>EA4#11059</t>
  </si>
  <si>
    <t>Application data types removed</t>
  </si>
  <si>
    <t>Shruthi Raghavan</t>
  </si>
  <si>
    <t>tags were removed</t>
  </si>
  <si>
    <t>Version: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</si>
</sst>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3" xfId="0" applyFont="1" applyFill="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E23" sqref="E23"/>
    </sheetView>
  </sheetViews>
  <sheetFormatPr defaultRowHeight="12.75" x14ac:dyDescent="0.2"/>
  <cols>
    <col min="3" max="5" width="4.7109375" customWidth="1"/>
    <col min="6" max="6" width="6.42578125" customWidth="1"/>
    <col min="7" max="26" width="4.7109375" customWidth="1"/>
    <col min="27" max="27" width="5.14062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213</v>
      </c>
      <c r="H4" s="111"/>
      <c r="I4" s="111"/>
      <c r="J4" s="111"/>
      <c r="K4" s="111"/>
      <c r="L4" s="111"/>
      <c r="M4" s="111"/>
      <c r="N4" s="111"/>
      <c r="O4" s="111"/>
      <c r="P4" s="25"/>
      <c r="Q4" s="6" t="s">
        <v>123</v>
      </c>
      <c r="R4" s="25"/>
      <c r="S4" s="25"/>
      <c r="T4" s="25"/>
      <c r="U4" s="112" t="s">
        <v>214</v>
      </c>
      <c r="V4" s="112"/>
      <c r="W4" s="112"/>
      <c r="X4" s="112"/>
      <c r="Y4" s="112"/>
      <c r="Z4" s="112"/>
      <c r="AA4" s="112"/>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215</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84"/>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8"/>
      <c r="D8" s="84" t="s">
        <v>128</v>
      </c>
      <c r="E8" s="84"/>
      <c r="G8" s="84"/>
      <c r="H8" s="84"/>
      <c r="I8" s="83"/>
      <c r="J8" s="83"/>
      <c r="K8" s="83"/>
      <c r="L8" s="84"/>
      <c r="M8" s="84"/>
      <c r="N8" s="7" t="s">
        <v>6</v>
      </c>
      <c r="O8" s="42" t="s">
        <v>2</v>
      </c>
      <c r="P8" s="84"/>
      <c r="Q8" s="6" t="s">
        <v>4</v>
      </c>
      <c r="R8" s="9"/>
      <c r="S8" s="6"/>
      <c r="T8" s="129"/>
      <c r="U8" s="129"/>
      <c r="V8" s="129"/>
      <c r="W8" s="129"/>
      <c r="X8" s="129"/>
      <c r="Y8" s="129"/>
      <c r="Z8" s="129"/>
      <c r="AA8" s="6"/>
    </row>
    <row r="9" spans="3:27" x14ac:dyDescent="0.2">
      <c r="C9" s="128"/>
      <c r="D9" s="84" t="s">
        <v>129</v>
      </c>
      <c r="E9" s="84"/>
      <c r="G9" s="84"/>
      <c r="H9" s="84"/>
      <c r="I9" s="83"/>
      <c r="J9" s="83"/>
      <c r="K9" s="83"/>
      <c r="L9" s="84"/>
      <c r="M9" s="84"/>
      <c r="N9" s="7"/>
      <c r="O9" s="84"/>
      <c r="P9" s="84"/>
      <c r="Q9" s="130"/>
      <c r="R9" s="130"/>
      <c r="S9" s="130"/>
      <c r="T9" s="130"/>
      <c r="U9" s="130"/>
      <c r="V9" s="130"/>
      <c r="W9" s="130"/>
      <c r="X9" s="130"/>
      <c r="Y9" s="130"/>
      <c r="Z9" s="130"/>
      <c r="AA9" s="6"/>
    </row>
    <row r="10" spans="3:27" x14ac:dyDescent="0.2">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8"/>
      <c r="D11" s="84" t="s">
        <v>111</v>
      </c>
      <c r="E11" s="84"/>
      <c r="G11" s="84"/>
      <c r="H11" s="84"/>
      <c r="I11" s="83"/>
      <c r="J11" s="83"/>
      <c r="K11" s="83"/>
      <c r="L11" s="84"/>
      <c r="M11" s="84"/>
      <c r="N11" s="7" t="s">
        <v>6</v>
      </c>
      <c r="O11" s="42" t="s">
        <v>2</v>
      </c>
      <c r="P11" s="84"/>
      <c r="Q11" s="6" t="s">
        <v>4</v>
      </c>
      <c r="R11" s="9"/>
      <c r="S11" s="6"/>
      <c r="T11" s="129"/>
      <c r="U11" s="129"/>
      <c r="V11" s="129"/>
      <c r="W11" s="129"/>
      <c r="X11" s="129"/>
      <c r="Y11" s="129"/>
      <c r="Z11" s="129"/>
      <c r="AA11" s="6"/>
    </row>
    <row r="12" spans="3:27" x14ac:dyDescent="0.2">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8"/>
      <c r="D14" s="84" t="s">
        <v>110</v>
      </c>
      <c r="E14" s="84"/>
      <c r="G14" s="84"/>
      <c r="H14" s="84"/>
      <c r="I14" s="83"/>
      <c r="J14" s="83"/>
      <c r="K14" s="83"/>
      <c r="L14" s="84"/>
      <c r="M14" s="84"/>
      <c r="N14" s="7" t="s">
        <v>6</v>
      </c>
      <c r="O14" s="42" t="s">
        <v>2</v>
      </c>
      <c r="P14" s="84"/>
      <c r="Q14" s="6" t="s">
        <v>4</v>
      </c>
      <c r="R14" s="9"/>
      <c r="S14" s="6"/>
      <c r="T14" s="129"/>
      <c r="U14" s="129"/>
      <c r="V14" s="129"/>
      <c r="W14" s="129"/>
      <c r="X14" s="129"/>
      <c r="Y14" s="129"/>
      <c r="Z14" s="129"/>
      <c r="AA14" s="6"/>
    </row>
    <row r="15" spans="3:27" x14ac:dyDescent="0.2">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
      <c r="C19" s="128"/>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31">
        <v>42874</v>
      </c>
      <c r="T28" s="131"/>
      <c r="AA28" s="13"/>
    </row>
    <row r="29" spans="3:27" x14ac:dyDescent="0.2">
      <c r="C29" s="12"/>
      <c r="AA29" s="13"/>
    </row>
    <row r="30" spans="3:27" ht="13.5" thickBot="1" x14ac:dyDescent="0.25">
      <c r="C30" s="12"/>
      <c r="D30" s="6" t="s">
        <v>41</v>
      </c>
      <c r="E30" s="9"/>
      <c r="F30" s="25"/>
      <c r="G30" s="25"/>
      <c r="H30" s="112" t="s">
        <v>206</v>
      </c>
      <c r="I30" s="113"/>
      <c r="J30" s="113"/>
      <c r="K30" s="113"/>
      <c r="L30" s="113"/>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2" t="s">
        <v>205</v>
      </c>
      <c r="I32" s="113"/>
      <c r="J32" s="113"/>
      <c r="K32" s="113"/>
      <c r="L32" s="113"/>
      <c r="M32" s="25"/>
      <c r="N32" s="112" t="s">
        <v>217</v>
      </c>
      <c r="O32" s="113"/>
      <c r="P32" s="113"/>
      <c r="Q32" s="113"/>
      <c r="R32" s="113"/>
      <c r="S32" s="25"/>
      <c r="T32" s="113"/>
      <c r="U32" s="113"/>
      <c r="V32" s="113"/>
      <c r="W32" s="113"/>
      <c r="X32" s="113"/>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
      <c r="C10" s="132"/>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
      <c r="C13" s="132"/>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
      <c r="C16" s="132"/>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
      <c r="C19" s="132"/>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1"/>
      <c r="T29" s="131"/>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64" zoomScale="145" zoomScaleNormal="145" workbookViewId="0">
      <selection activeCell="S78" sqref="S7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143" t="s">
        <v>216</v>
      </c>
      <c r="R39" s="143"/>
      <c r="S39" s="143"/>
      <c r="T39" s="143"/>
      <c r="U39" s="143"/>
      <c r="V39" s="143"/>
      <c r="W39" s="143"/>
      <c r="X39" s="143"/>
      <c r="Y39" s="143"/>
      <c r="Z39" s="143"/>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33"/>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75" x14ac:dyDescent="0.25">
      <c r="C63" s="13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33"/>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12" t="str">
        <f>IF((ISBLANK('Synergy Project'!G28))," ",'Synergy Project'!G28)</f>
        <v>Shawn Penning</v>
      </c>
      <c r="H76" s="113"/>
      <c r="I76" s="113"/>
      <c r="J76" s="113"/>
      <c r="K76" s="113"/>
      <c r="L76" s="113"/>
      <c r="M76" s="102"/>
      <c r="N76" s="19" t="s">
        <v>0</v>
      </c>
      <c r="O76" s="102"/>
      <c r="P76" s="102"/>
      <c r="Q76" s="131">
        <f>IF((ISBLANK('Synergy Project'!$S$28))," ",'Synergy Project'!$S$28)</f>
        <v>42874</v>
      </c>
      <c r="R76" s="131"/>
      <c r="S76" s="102"/>
      <c r="T76" s="103" t="s">
        <v>102</v>
      </c>
      <c r="U76" s="102"/>
      <c r="V76" s="102"/>
      <c r="W76" s="102"/>
      <c r="X76" s="131" t="s">
        <v>212</v>
      </c>
      <c r="Y76" s="131"/>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12" t="str">
        <f>IF((ISBLANK('Synergy Project'!$H$30))," ",'Synergy Project'!$H$30)</f>
        <v>Matt Leser</v>
      </c>
      <c r="I78" s="113"/>
      <c r="J78" s="113"/>
      <c r="K78" s="113"/>
      <c r="L78" s="113"/>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12" t="str">
        <f>IF((ISBLANK('Synergy Project'!$H$32))," ",'Synergy Project'!$H$32)</f>
        <v>Brendon Binder</v>
      </c>
      <c r="I80" s="113"/>
      <c r="J80" s="113"/>
      <c r="K80" s="113"/>
      <c r="L80" s="113"/>
      <c r="M80" s="25"/>
      <c r="N80" s="113" t="str">
        <f>IF((ISBLANK('Synergy Project'!$N$32))," ",'Synergy Project'!$N$32)</f>
        <v>Shruthi Raghavan</v>
      </c>
      <c r="O80" s="113"/>
      <c r="P80" s="113"/>
      <c r="Q80" s="113"/>
      <c r="R80" s="113"/>
      <c r="S80" s="25"/>
      <c r="T80" s="113" t="str">
        <f>IF((ISBLANK('Synergy Project'!$T$32))," ",'Synergy Project'!$T$32)</f>
        <v xml:space="preserve"> </v>
      </c>
      <c r="U80" s="113"/>
      <c r="V80" s="113"/>
      <c r="W80" s="113"/>
      <c r="X80" s="113"/>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13" t="str">
        <f>IF((ISBLANK('Synergy Project'!$H$34))," ",'Synergy Project'!$H$34)</f>
        <v xml:space="preserve"> </v>
      </c>
      <c r="I82" s="113"/>
      <c r="J82" s="113"/>
      <c r="K82" s="113"/>
      <c r="L82" s="113"/>
      <c r="M82" s="25"/>
      <c r="N82" s="113" t="str">
        <f>IF((ISBLANK('Synergy Project'!$N$34))," ",'Synergy Project'!$N$34)</f>
        <v xml:space="preserve"> </v>
      </c>
      <c r="O82" s="113"/>
      <c r="P82" s="113"/>
      <c r="Q82" s="113"/>
      <c r="R82" s="113"/>
      <c r="S82" s="25"/>
      <c r="T82" s="113" t="str">
        <f>IF((ISBLANK('Synergy Project'!$T$34))," ",'Synergy Project'!$T$34)</f>
        <v xml:space="preserve"> </v>
      </c>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2">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Q39:Z39"/>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B103"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2" t="s">
        <v>208</v>
      </c>
      <c r="H4" s="112"/>
      <c r="I4" s="112"/>
      <c r="J4" s="112"/>
      <c r="K4" s="112"/>
      <c r="L4" s="112"/>
      <c r="M4" s="112"/>
      <c r="N4" s="112"/>
      <c r="O4" s="112"/>
      <c r="P4" s="112"/>
      <c r="Q4" s="112"/>
      <c r="S4" s="6" t="s">
        <v>13</v>
      </c>
      <c r="T4" s="6"/>
      <c r="U4" s="6"/>
      <c r="W4" s="112">
        <v>2</v>
      </c>
      <c r="X4" s="112"/>
      <c r="Y4" s="112"/>
      <c r="Z4" s="112"/>
      <c r="AA4" s="112"/>
      <c r="AB4" s="3"/>
    </row>
    <row r="5" spans="3:28" ht="16.5" thickBot="1" x14ac:dyDescent="0.3">
      <c r="C5" s="19" t="s">
        <v>178</v>
      </c>
      <c r="D5" s="9"/>
      <c r="E5" s="19"/>
      <c r="F5" s="19"/>
      <c r="G5" s="112" t="s">
        <v>124</v>
      </c>
      <c r="H5" s="112"/>
      <c r="I5" s="112"/>
      <c r="J5" s="112"/>
      <c r="K5" s="112"/>
      <c r="L5" s="112"/>
      <c r="M5" s="112"/>
      <c r="N5" s="112"/>
      <c r="O5" s="112"/>
      <c r="P5" s="112"/>
      <c r="Q5" s="112"/>
      <c r="S5" s="6" t="s">
        <v>179</v>
      </c>
      <c r="T5" s="6"/>
      <c r="U5" s="6"/>
      <c r="W5" s="112" t="s">
        <v>124</v>
      </c>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2" t="s">
        <v>209</v>
      </c>
      <c r="G7" s="112"/>
      <c r="H7" s="112"/>
      <c r="I7" s="112"/>
      <c r="J7" s="112"/>
      <c r="K7" s="112"/>
      <c r="L7" s="112"/>
      <c r="M7" s="112"/>
      <c r="N7" s="112"/>
      <c r="O7" s="112"/>
      <c r="P7" s="112"/>
      <c r="Q7" s="112"/>
      <c r="R7" s="112"/>
      <c r="S7" s="112"/>
      <c r="T7" s="112"/>
      <c r="U7" s="112"/>
      <c r="V7" s="112"/>
      <c r="W7" s="6"/>
      <c r="X7" s="6" t="s">
        <v>180</v>
      </c>
      <c r="Y7" s="6"/>
      <c r="Z7" s="112">
        <v>1</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t="s">
        <v>210</v>
      </c>
      <c r="J9" s="112"/>
      <c r="K9" s="112"/>
      <c r="L9" s="112"/>
      <c r="M9" s="112"/>
      <c r="N9" s="112"/>
      <c r="O9" s="112"/>
      <c r="P9" s="112"/>
      <c r="Q9" s="112"/>
      <c r="R9" s="112"/>
      <c r="S9" s="112"/>
      <c r="T9" s="112"/>
      <c r="U9" s="112"/>
      <c r="V9" s="112"/>
      <c r="W9" s="6"/>
      <c r="X9" s="6" t="s">
        <v>180</v>
      </c>
      <c r="Y9" s="6"/>
      <c r="Z9" s="112" t="s">
        <v>211</v>
      </c>
      <c r="AA9" s="112"/>
      <c r="AB9" s="3"/>
    </row>
    <row r="10" spans="3:28" ht="17.25" customHeight="1" x14ac:dyDescent="0.2">
      <c r="C10" s="6"/>
      <c r="D10" s="6"/>
      <c r="E10" s="6"/>
      <c r="F10" s="6"/>
      <c r="G10" s="6"/>
      <c r="H10" s="86"/>
      <c r="I10" s="86"/>
      <c r="S10" s="84"/>
      <c r="AB10" s="1"/>
    </row>
    <row r="11" spans="3:28" ht="16.5" thickBot="1" x14ac:dyDescent="0.3">
      <c r="C11" s="138"/>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8"/>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8"/>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8"/>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8"/>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8"/>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75" x14ac:dyDescent="0.25">
      <c r="C17" s="138"/>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8"/>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8"/>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75" x14ac:dyDescent="0.25">
      <c r="C20" s="138"/>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8"/>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38"/>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75" x14ac:dyDescent="0.25">
      <c r="C23" s="138"/>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8"/>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38"/>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75" x14ac:dyDescent="0.25">
      <c r="C26" s="138"/>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8"/>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8"/>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75" x14ac:dyDescent="0.25">
      <c r="C29" s="138"/>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8"/>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8"/>
      <c r="D31" s="84" t="s">
        <v>133</v>
      </c>
      <c r="G31" s="84"/>
      <c r="H31" s="84"/>
      <c r="I31" s="83"/>
      <c r="J31" s="83"/>
      <c r="K31" s="83"/>
      <c r="L31" s="84"/>
      <c r="M31" s="84"/>
      <c r="N31" s="84"/>
      <c r="O31" s="6"/>
      <c r="P31" s="84"/>
      <c r="Q31" s="130" t="s">
        <v>218</v>
      </c>
      <c r="R31" s="130"/>
      <c r="S31" s="130"/>
      <c r="T31" s="130"/>
      <c r="U31" s="130"/>
      <c r="V31" s="130"/>
      <c r="W31" s="130"/>
      <c r="X31" s="130"/>
      <c r="Y31" s="130"/>
      <c r="Z31" s="130"/>
      <c r="AA31" s="6"/>
      <c r="AB31" s="3"/>
    </row>
    <row r="32" spans="3:28" ht="15.75" x14ac:dyDescent="0.25">
      <c r="C32" s="138"/>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8"/>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8"/>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25">
      <c r="C35" s="138"/>
      <c r="D35" s="84" t="s">
        <v>95</v>
      </c>
      <c r="E35" s="84"/>
      <c r="G35" s="84"/>
      <c r="H35" s="84"/>
      <c r="I35" s="83"/>
      <c r="J35" s="83"/>
      <c r="K35" s="83"/>
      <c r="L35" s="84"/>
      <c r="M35" s="84"/>
      <c r="N35" s="84" t="s">
        <v>6</v>
      </c>
      <c r="O35" s="42" t="s">
        <v>2</v>
      </c>
      <c r="P35" s="84"/>
      <c r="Q35" s="6" t="s">
        <v>4</v>
      </c>
      <c r="R35" s="9"/>
      <c r="S35" s="6"/>
      <c r="T35" s="129"/>
      <c r="U35" s="129"/>
      <c r="V35" s="129"/>
      <c r="W35" s="129"/>
      <c r="X35" s="129"/>
      <c r="Y35" s="129"/>
      <c r="Z35" s="129"/>
      <c r="AA35" s="6"/>
      <c r="AB35" s="3"/>
    </row>
    <row r="36" spans="3:28" ht="15.75" x14ac:dyDescent="0.25">
      <c r="C36" s="138"/>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75" x14ac:dyDescent="0.25">
      <c r="C37" s="138"/>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8"/>
      <c r="D38" s="84" t="s">
        <v>43</v>
      </c>
      <c r="E38" s="84"/>
      <c r="G38" s="84"/>
      <c r="H38" s="84"/>
      <c r="I38" s="83"/>
      <c r="J38" s="83"/>
      <c r="K38" s="83"/>
      <c r="L38" s="84"/>
      <c r="M38" s="84"/>
      <c r="N38" s="84" t="s">
        <v>6</v>
      </c>
      <c r="O38" s="42" t="s">
        <v>2</v>
      </c>
      <c r="P38" s="84"/>
      <c r="Q38" s="6" t="s">
        <v>4</v>
      </c>
      <c r="R38" s="9"/>
      <c r="S38" s="6"/>
      <c r="T38" s="129"/>
      <c r="U38" s="129"/>
      <c r="V38" s="129"/>
      <c r="W38" s="129"/>
      <c r="X38" s="129"/>
      <c r="Y38" s="129"/>
      <c r="Z38" s="129"/>
      <c r="AA38" s="6"/>
      <c r="AB38" s="3"/>
    </row>
    <row r="39" spans="3:28" ht="15.75" x14ac:dyDescent="0.25">
      <c r="C39" s="138"/>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75" x14ac:dyDescent="0.25">
      <c r="C40" s="138"/>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8"/>
      <c r="D41" s="84" t="s">
        <v>74</v>
      </c>
      <c r="E41" s="84"/>
      <c r="G41" s="84"/>
      <c r="H41" s="84"/>
      <c r="I41" s="83"/>
      <c r="J41" s="83"/>
      <c r="K41" s="83"/>
      <c r="L41" s="84"/>
      <c r="M41" s="84"/>
      <c r="N41" s="84" t="s">
        <v>6</v>
      </c>
      <c r="O41" s="42" t="s">
        <v>124</v>
      </c>
      <c r="P41" s="84"/>
      <c r="Q41" s="6" t="s">
        <v>4</v>
      </c>
      <c r="R41" s="9"/>
      <c r="S41" s="6"/>
      <c r="T41" s="129"/>
      <c r="U41" s="129"/>
      <c r="V41" s="129"/>
      <c r="W41" s="129"/>
      <c r="X41" s="129"/>
      <c r="Y41" s="129"/>
      <c r="Z41" s="129"/>
      <c r="AA41" s="6"/>
      <c r="AB41" s="3"/>
    </row>
    <row r="42" spans="3:28" ht="15.75" x14ac:dyDescent="0.25">
      <c r="C42" s="138"/>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75" x14ac:dyDescent="0.25">
      <c r="C43" s="138"/>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8"/>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38"/>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75" x14ac:dyDescent="0.25">
      <c r="C46" s="138"/>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8"/>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38"/>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75" x14ac:dyDescent="0.25">
      <c r="C49" s="138"/>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75" x14ac:dyDescent="0.25">
      <c r="C50" s="138"/>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75" x14ac:dyDescent="0.25">
      <c r="C51" s="138"/>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8"/>
      <c r="D52" t="s">
        <v>116</v>
      </c>
      <c r="Q52" s="130" t="s">
        <v>219</v>
      </c>
      <c r="R52" s="130"/>
      <c r="S52" s="130"/>
      <c r="T52" s="130"/>
      <c r="U52" s="130"/>
      <c r="V52" s="130"/>
      <c r="W52" s="130"/>
      <c r="X52" s="130"/>
      <c r="Y52" s="130"/>
      <c r="Z52" s="130"/>
      <c r="AA52" s="6"/>
      <c r="AB52" s="3"/>
    </row>
    <row r="53" spans="3:28" ht="15.75" x14ac:dyDescent="0.25">
      <c r="C53" s="138"/>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8"/>
      <c r="D54" s="84"/>
      <c r="E54" s="84" t="s">
        <v>60</v>
      </c>
      <c r="G54" s="84"/>
      <c r="H54" s="84"/>
      <c r="I54" s="83"/>
      <c r="J54" s="83"/>
      <c r="K54" s="83"/>
      <c r="L54" s="84"/>
      <c r="M54" s="84"/>
      <c r="N54" s="84" t="s">
        <v>6</v>
      </c>
      <c r="O54" s="42" t="s">
        <v>124</v>
      </c>
      <c r="P54" s="84"/>
      <c r="Q54" s="6" t="s">
        <v>4</v>
      </c>
      <c r="R54" s="9"/>
      <c r="S54" s="6"/>
      <c r="T54" s="6"/>
      <c r="U54" s="85"/>
      <c r="V54" s="85"/>
      <c r="W54" s="85"/>
      <c r="X54" s="6"/>
      <c r="Y54" s="6"/>
      <c r="Z54" s="6"/>
      <c r="AA54" s="6"/>
      <c r="AB54" s="3"/>
    </row>
    <row r="55" spans="3:28" ht="15.75" x14ac:dyDescent="0.25">
      <c r="C55" s="138"/>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75" x14ac:dyDescent="0.25">
      <c r="C56" s="138"/>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8"/>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8"/>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8"/>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8"/>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8"/>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75" x14ac:dyDescent="0.25">
      <c r="C62" s="138"/>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8"/>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75" x14ac:dyDescent="0.25">
      <c r="C64" s="138"/>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75" x14ac:dyDescent="0.25">
      <c r="C65" s="138"/>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8"/>
      <c r="D66" s="84"/>
      <c r="E66" s="84" t="s">
        <v>61</v>
      </c>
      <c r="G66" s="84"/>
      <c r="H66" s="84"/>
      <c r="I66" s="83"/>
      <c r="J66" s="83"/>
      <c r="K66" s="83"/>
      <c r="L66" s="84"/>
      <c r="M66" s="84"/>
      <c r="N66" s="84" t="s">
        <v>6</v>
      </c>
      <c r="O66" s="42" t="s">
        <v>124</v>
      </c>
      <c r="P66" s="84"/>
      <c r="Q66" s="6" t="s">
        <v>4</v>
      </c>
      <c r="R66" s="9"/>
      <c r="S66" s="6"/>
      <c r="T66" s="6"/>
      <c r="U66" s="85"/>
      <c r="V66" s="85"/>
      <c r="W66" s="85"/>
      <c r="X66" s="6"/>
      <c r="Y66" s="6"/>
      <c r="Z66" s="6"/>
      <c r="AA66" s="6"/>
      <c r="AB66" s="3"/>
    </row>
    <row r="67" spans="3:28" ht="15.75" x14ac:dyDescent="0.25">
      <c r="C67" s="138"/>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75" x14ac:dyDescent="0.25">
      <c r="C68" s="138"/>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8"/>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8"/>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8"/>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75" x14ac:dyDescent="0.25">
      <c r="C72" s="138"/>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8"/>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38"/>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75" x14ac:dyDescent="0.25">
      <c r="C75" s="138"/>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8"/>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8"/>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75" x14ac:dyDescent="0.25">
      <c r="C78" s="138"/>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8"/>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8"/>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75" x14ac:dyDescent="0.25">
      <c r="C81" s="138"/>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8"/>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8"/>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75" x14ac:dyDescent="0.25">
      <c r="C84" s="138"/>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8"/>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8"/>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75" x14ac:dyDescent="0.25">
      <c r="C87" s="138"/>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8"/>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8"/>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75" x14ac:dyDescent="0.25">
      <c r="C90" s="138"/>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8"/>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8"/>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8"/>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8"/>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75" x14ac:dyDescent="0.25">
      <c r="C95" s="138"/>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8"/>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8"/>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75" x14ac:dyDescent="0.25">
      <c r="C98" s="138"/>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8"/>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8"/>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75" x14ac:dyDescent="0.25">
      <c r="C101" s="138"/>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8"/>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8"/>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75" x14ac:dyDescent="0.25">
      <c r="C104" s="138"/>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8"/>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8"/>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75" x14ac:dyDescent="0.25">
      <c r="C107" s="138"/>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8"/>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8"/>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8"/>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8"/>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75" x14ac:dyDescent="0.25">
      <c r="C112" s="138"/>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8"/>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8"/>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75" x14ac:dyDescent="0.25">
      <c r="C115" s="138"/>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tr">
        <f>IF((ISBLANK('Synergy Project'!$G$28))," ",'Synergy Project'!$G$28)</f>
        <v>Shawn Penning</v>
      </c>
      <c r="H125" s="113"/>
      <c r="I125" s="113"/>
      <c r="J125" s="113"/>
      <c r="K125" s="113"/>
      <c r="L125" s="113"/>
      <c r="M125" s="102"/>
      <c r="N125" s="102"/>
      <c r="O125" s="102"/>
      <c r="P125" s="19" t="s">
        <v>0</v>
      </c>
      <c r="Q125" s="19"/>
      <c r="R125" s="19"/>
      <c r="S125" s="131">
        <f>IF((ISBLANK('Synergy Project'!$S$28))," ",'Synergy Project'!$S$28)</f>
        <v>42874</v>
      </c>
      <c r="T125" s="131"/>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3" t="str">
        <f>IF((ISBLANK('Synergy Project'!$H$30))," ",'Synergy Project'!$H$30)</f>
        <v>Matt Leser</v>
      </c>
      <c r="I127" s="113"/>
      <c r="J127" s="113"/>
      <c r="K127" s="113"/>
      <c r="L127" s="113"/>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3" t="str">
        <f>IF((ISBLANK('Synergy Project'!$H$32))," ",'Synergy Project'!$H$32)</f>
        <v>Brendon Binder</v>
      </c>
      <c r="I129" s="113"/>
      <c r="J129" s="113"/>
      <c r="K129" s="113"/>
      <c r="L129" s="113"/>
      <c r="M129" s="25"/>
      <c r="N129" s="113" t="str">
        <f>IF((ISBLANK('Synergy Project'!$N$32))," ",'Synergy Project'!$N$32)</f>
        <v>Shruthi Raghavan</v>
      </c>
      <c r="O129" s="113"/>
      <c r="P129" s="113"/>
      <c r="Q129" s="113"/>
      <c r="R129" s="113"/>
      <c r="S129" s="25"/>
      <c r="T129" s="113" t="str">
        <f>IF((ISBLANK('Synergy Project'!$T$32))," ",'Synergy Project'!$T$32)</f>
        <v xml:space="preserve"> </v>
      </c>
      <c r="U129" s="113"/>
      <c r="V129" s="113"/>
      <c r="W129" s="113"/>
      <c r="X129" s="113"/>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3" t="str">
        <f>IF((ISBLANK('Synergy Project'!$H$34))," ",'Synergy Project'!$H$34)</f>
        <v xml:space="preserve"> </v>
      </c>
      <c r="I131" s="113"/>
      <c r="J131" s="113"/>
      <c r="K131" s="113"/>
      <c r="L131" s="113"/>
      <c r="M131" s="25"/>
      <c r="N131" s="113" t="str">
        <f>IF((ISBLANK('Synergy Project'!$N$34))," ",'Synergy Project'!$N$34)</f>
        <v xml:space="preserve"> </v>
      </c>
      <c r="O131" s="113"/>
      <c r="P131" s="113"/>
      <c r="Q131" s="113"/>
      <c r="R131" s="113"/>
      <c r="S131" s="25"/>
      <c r="T131" s="113" t="str">
        <f>IF((ISBLANK('Synergy Project'!$T$34))," ",'Synergy Project'!$T$34)</f>
        <v xml:space="preserve"> </v>
      </c>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40" zoomScale="85" zoomScaleNormal="85" workbookViewId="0">
      <selection activeCell="C43" sqref="C43:AA5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2"/>
      <c r="Z7" s="112"/>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2"/>
      <c r="Z8" s="112"/>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75" x14ac:dyDescent="0.25">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75" x14ac:dyDescent="0.25">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75" x14ac:dyDescent="0.25">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tr">
        <f>IF((ISBLANK('Synergy Project'!$G$28))," ",'Synergy Project'!$G$28)</f>
        <v>Shawn Penning</v>
      </c>
      <c r="H45" s="113"/>
      <c r="I45" s="113"/>
      <c r="J45" s="113"/>
      <c r="K45" s="113"/>
      <c r="L45" s="113"/>
      <c r="M45" s="102"/>
      <c r="N45" s="102"/>
      <c r="O45" s="102"/>
      <c r="P45" s="19" t="s">
        <v>0</v>
      </c>
      <c r="Q45" s="19"/>
      <c r="R45" s="19"/>
      <c r="S45" s="131">
        <f>IF((ISBLANK('Synergy Project'!$S$28))," ",'Synergy Project'!$S$28)</f>
        <v>42874</v>
      </c>
      <c r="T45" s="131"/>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3" t="str">
        <f>IF((ISBLANK('Synergy Project'!$H$30))," ",'Synergy Project'!$H$30)</f>
        <v>Matt Leser</v>
      </c>
      <c r="I47" s="113"/>
      <c r="J47" s="113"/>
      <c r="K47" s="113"/>
      <c r="L47" s="113"/>
      <c r="M47" s="102"/>
      <c r="N47" s="102" t="s">
        <v>47</v>
      </c>
      <c r="O47" s="102"/>
      <c r="P47" s="6"/>
      <c r="Q47" s="9"/>
      <c r="R47" s="102"/>
      <c r="S47" s="102"/>
      <c r="T47" s="102"/>
      <c r="U47" s="100"/>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3" t="str">
        <f>IF((ISBLANK('Synergy Project'!$H$32))," ",'Synergy Project'!$H$32)</f>
        <v>Brendon Binder</v>
      </c>
      <c r="I49" s="113"/>
      <c r="J49" s="113"/>
      <c r="K49" s="113"/>
      <c r="L49" s="113"/>
      <c r="M49" s="25"/>
      <c r="N49" s="113" t="str">
        <f>IF((ISBLANK('Synergy Project'!$N$32))," ",'Synergy Project'!$N$32)</f>
        <v>Shruthi Raghavan</v>
      </c>
      <c r="O49" s="113"/>
      <c r="P49" s="113"/>
      <c r="Q49" s="113"/>
      <c r="R49" s="113"/>
      <c r="S49" s="25"/>
      <c r="T49" s="113" t="str">
        <f>IF((ISBLANK('Synergy Project'!$T$32))," ",'Synergy Project'!$T$32)</f>
        <v xml:space="preserve"> </v>
      </c>
      <c r="U49" s="113"/>
      <c r="V49" s="113"/>
      <c r="W49" s="113"/>
      <c r="X49" s="113"/>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3" t="str">
        <f>IF((ISBLANK('Synergy Project'!$H$34))," ",'Synergy Project'!$H$34)</f>
        <v xml:space="preserve"> </v>
      </c>
      <c r="I51" s="113"/>
      <c r="J51" s="113"/>
      <c r="K51" s="113"/>
      <c r="L51" s="113"/>
      <c r="M51" s="25"/>
      <c r="N51" s="113" t="str">
        <f>IF((ISBLANK('Synergy Project'!$N$34))," ",'Synergy Project'!$N$34)</f>
        <v xml:space="preserve"> </v>
      </c>
      <c r="O51" s="113"/>
      <c r="P51" s="113"/>
      <c r="Q51" s="113"/>
      <c r="R51" s="113"/>
      <c r="S51" s="25"/>
      <c r="T51" s="113" t="str">
        <f>IF((ISBLANK('Synergy Project'!$T$34))," ",'Synergy Project'!$T$34)</f>
        <v xml:space="preserve"> </v>
      </c>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2" t="s">
        <v>208</v>
      </c>
      <c r="I4" s="112"/>
      <c r="J4" s="112"/>
      <c r="K4" s="112"/>
      <c r="L4" s="112"/>
      <c r="M4" s="112"/>
      <c r="N4" s="112"/>
      <c r="O4" s="112"/>
      <c r="P4" s="112"/>
      <c r="Q4" s="112"/>
      <c r="R4" s="112"/>
      <c r="S4" s="112"/>
      <c r="T4" s="112"/>
      <c r="U4" s="6" t="s">
        <v>13</v>
      </c>
      <c r="V4" s="6"/>
      <c r="W4" s="6"/>
      <c r="X4" s="6"/>
      <c r="Y4" s="112">
        <v>2</v>
      </c>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2">
        <v>1.2</v>
      </c>
      <c r="N8" s="112"/>
      <c r="O8" s="112"/>
      <c r="P8" s="112"/>
      <c r="Q8" s="112"/>
      <c r="R8" s="112"/>
      <c r="S8" s="112"/>
      <c r="T8" s="112"/>
      <c r="U8" s="6"/>
      <c r="V8" s="6"/>
      <c r="W8" s="6"/>
      <c r="X8" s="6"/>
      <c r="Y8" s="86"/>
      <c r="Z8" s="86"/>
      <c r="AA8" s="6"/>
      <c r="AB8" s="3"/>
    </row>
    <row r="9" spans="3:28" ht="16.5" thickBot="1" x14ac:dyDescent="0.3">
      <c r="D9" s="35" t="s">
        <v>188</v>
      </c>
      <c r="E9" s="6"/>
      <c r="F9" s="6"/>
      <c r="G9" s="6"/>
      <c r="H9" s="112" t="s">
        <v>207</v>
      </c>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75" x14ac:dyDescent="0.25">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4"/>
      <c r="D15" s="84" t="s">
        <v>192</v>
      </c>
      <c r="E15" s="84"/>
      <c r="G15" s="49"/>
      <c r="H15" s="84"/>
      <c r="I15" s="83"/>
      <c r="J15" s="83"/>
      <c r="K15" s="83"/>
      <c r="L15" s="84"/>
      <c r="M15" s="84"/>
      <c r="N15" s="7" t="s">
        <v>6</v>
      </c>
      <c r="O15" s="42" t="s">
        <v>2</v>
      </c>
      <c r="P15" s="84"/>
      <c r="Q15" s="6" t="s">
        <v>4</v>
      </c>
      <c r="R15" s="9"/>
      <c r="S15" s="6"/>
      <c r="T15" s="129"/>
      <c r="U15" s="129"/>
      <c r="V15" s="129"/>
      <c r="W15" s="129"/>
      <c r="X15" s="129"/>
      <c r="Y15" s="129"/>
      <c r="Z15" s="129"/>
      <c r="AA15" s="6"/>
      <c r="AB15" s="3"/>
    </row>
    <row r="16" spans="3:28" ht="15.75" x14ac:dyDescent="0.25">
      <c r="C16" s="104"/>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75" x14ac:dyDescent="0.25">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2</v>
      </c>
      <c r="P18" s="84"/>
      <c r="Q18" s="6" t="s">
        <v>4</v>
      </c>
      <c r="R18" s="9"/>
      <c r="S18" s="6"/>
      <c r="T18" s="129"/>
      <c r="U18" s="129"/>
      <c r="V18" s="129"/>
      <c r="W18" s="129"/>
      <c r="X18" s="129"/>
      <c r="Y18" s="129"/>
      <c r="Z18" s="129"/>
      <c r="AA18" s="6"/>
      <c r="AB18" s="3"/>
    </row>
    <row r="19" spans="3:28" ht="15.75" x14ac:dyDescent="0.25">
      <c r="C19" s="104"/>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75" x14ac:dyDescent="0.25">
      <c r="C20" s="104"/>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75" x14ac:dyDescent="0.25">
      <c r="C21" s="104"/>
      <c r="D21" s="62" t="s">
        <v>198</v>
      </c>
      <c r="E21" s="84"/>
      <c r="G21" s="49"/>
      <c r="H21" s="84"/>
      <c r="I21" s="83"/>
      <c r="J21" s="83"/>
      <c r="K21" s="83"/>
      <c r="L21" s="84"/>
      <c r="M21" s="84"/>
      <c r="N21" s="7" t="s">
        <v>6</v>
      </c>
      <c r="O21" s="42" t="s">
        <v>124</v>
      </c>
      <c r="P21" s="84"/>
      <c r="Q21" s="6" t="s">
        <v>4</v>
      </c>
      <c r="R21" s="9"/>
      <c r="S21" s="6"/>
      <c r="T21" s="129"/>
      <c r="U21" s="129"/>
      <c r="V21" s="129"/>
      <c r="W21" s="129"/>
      <c r="X21" s="129"/>
      <c r="Y21" s="129"/>
      <c r="Z21" s="129"/>
      <c r="AA21" s="6"/>
      <c r="AB21" s="3"/>
    </row>
    <row r="22" spans="3:28" ht="15.75" x14ac:dyDescent="0.25">
      <c r="C22" s="104"/>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2</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84"/>
      <c r="G27" s="49"/>
      <c r="H27" s="84"/>
      <c r="I27" s="83"/>
      <c r="J27" s="83"/>
      <c r="K27" s="83"/>
      <c r="L27" s="84"/>
      <c r="M27" s="84"/>
      <c r="N27" s="7" t="s">
        <v>6</v>
      </c>
      <c r="O27" s="42" t="s">
        <v>2</v>
      </c>
      <c r="P27" s="84"/>
      <c r="Q27" s="6" t="s">
        <v>4</v>
      </c>
      <c r="R27" s="9"/>
      <c r="S27" s="6"/>
      <c r="T27" s="129"/>
      <c r="U27" s="129"/>
      <c r="V27" s="129"/>
      <c r="W27" s="129"/>
      <c r="X27" s="129"/>
      <c r="Y27" s="129"/>
      <c r="Z27" s="129"/>
      <c r="AA27" s="6"/>
      <c r="AB27" s="3"/>
    </row>
    <row r="28" spans="3:28" ht="15.75" x14ac:dyDescent="0.25">
      <c r="C28" s="104"/>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75" x14ac:dyDescent="0.25">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D40" s="102"/>
      <c r="E40" s="102"/>
      <c r="F40" s="102"/>
      <c r="G40" s="102"/>
      <c r="H40" s="102"/>
      <c r="I40" s="102"/>
      <c r="J40" s="9"/>
      <c r="K40" s="6"/>
      <c r="L40" s="9"/>
      <c r="M40" s="25"/>
      <c r="N40" s="25"/>
      <c r="O40" s="25"/>
      <c r="P40" s="25"/>
      <c r="Q40" s="102"/>
      <c r="R40" s="9"/>
      <c r="S40" s="9"/>
      <c r="T40" s="9"/>
      <c r="U40" s="9"/>
      <c r="V40" s="102"/>
      <c r="W40" s="102"/>
      <c r="X40" s="102"/>
      <c r="Y40" s="102"/>
      <c r="Z40" s="102"/>
      <c r="AA40" s="13"/>
    </row>
    <row r="41" spans="3:28" ht="13.5" thickBot="1" x14ac:dyDescent="0.25">
      <c r="C41" s="12"/>
      <c r="D41" s="6" t="s">
        <v>46</v>
      </c>
      <c r="E41" s="9"/>
      <c r="F41" s="25"/>
      <c r="G41" s="113" t="str">
        <f>IF((ISBLANK('Synergy Project'!$G$28))," ",'Synergy Project'!$G$28)</f>
        <v>Shawn Penning</v>
      </c>
      <c r="H41" s="113"/>
      <c r="I41" s="113"/>
      <c r="J41" s="113"/>
      <c r="K41" s="113"/>
      <c r="L41" s="113"/>
      <c r="M41" s="102"/>
      <c r="N41" s="102"/>
      <c r="O41" s="102"/>
      <c r="P41" s="19" t="s">
        <v>0</v>
      </c>
      <c r="Q41" s="19"/>
      <c r="R41" s="19"/>
      <c r="S41" s="131">
        <f>IF((ISBLANK('Synergy Project'!$S$28))," ",'Synergy Project'!$S$28)</f>
        <v>42874</v>
      </c>
      <c r="T41" s="131"/>
      <c r="U41" s="102"/>
      <c r="V41" s="102"/>
      <c r="W41" s="102"/>
      <c r="X41" s="102"/>
      <c r="Y41" s="102"/>
      <c r="Z41" s="102"/>
      <c r="AA41" s="13"/>
    </row>
    <row r="42" spans="3:28" x14ac:dyDescent="0.2">
      <c r="C42" s="12"/>
      <c r="D42" s="102"/>
      <c r="E42" s="102"/>
      <c r="F42" s="102"/>
      <c r="G42" s="102"/>
      <c r="H42" s="102"/>
      <c r="I42" s="102"/>
      <c r="J42" s="102"/>
      <c r="K42" s="102"/>
      <c r="L42" s="102"/>
      <c r="M42" s="102"/>
      <c r="N42" s="102"/>
      <c r="O42" s="102"/>
      <c r="P42" s="102"/>
      <c r="Q42" s="102"/>
      <c r="R42" s="102"/>
      <c r="S42" s="102"/>
      <c r="T42" s="102"/>
      <c r="U42" s="102"/>
      <c r="V42" s="102"/>
      <c r="W42" s="102"/>
      <c r="X42" s="102"/>
      <c r="Y42" s="102"/>
      <c r="Z42" s="102"/>
      <c r="AA42" s="13"/>
    </row>
    <row r="43" spans="3:28" ht="13.5" thickBot="1" x14ac:dyDescent="0.25">
      <c r="C43" s="12"/>
      <c r="D43" s="6" t="s">
        <v>41</v>
      </c>
      <c r="E43" s="9"/>
      <c r="F43" s="25"/>
      <c r="G43" s="25"/>
      <c r="H43" s="113" t="str">
        <f>IF((ISBLANK('Synergy Project'!$H$30))," ",'Synergy Project'!$H$30)</f>
        <v>Matt Leser</v>
      </c>
      <c r="I43" s="113"/>
      <c r="J43" s="113"/>
      <c r="K43" s="113"/>
      <c r="L43" s="113"/>
      <c r="M43" s="102"/>
      <c r="N43" s="102" t="s">
        <v>47</v>
      </c>
      <c r="O43" s="102"/>
      <c r="P43" s="6"/>
      <c r="Q43" s="9"/>
      <c r="R43" s="102"/>
      <c r="S43" s="102"/>
      <c r="T43" s="102"/>
      <c r="U43" s="100" t="s">
        <v>2</v>
      </c>
      <c r="V43" s="102"/>
      <c r="W43" s="102"/>
      <c r="X43" s="9"/>
      <c r="Y43" s="25"/>
      <c r="Z43" s="25"/>
      <c r="AA43" s="13"/>
    </row>
    <row r="44" spans="3:28" x14ac:dyDescent="0.2">
      <c r="C44" s="12"/>
      <c r="D44" s="102"/>
      <c r="E44" s="102"/>
      <c r="F44" s="102"/>
      <c r="G44" s="102"/>
      <c r="H44" s="102"/>
      <c r="I44" s="102"/>
      <c r="J44" s="102"/>
      <c r="K44" s="102"/>
      <c r="L44" s="102"/>
      <c r="M44" s="102"/>
      <c r="N44" s="102"/>
      <c r="O44" s="102"/>
      <c r="P44" s="102"/>
      <c r="Q44" s="102"/>
      <c r="R44" s="102"/>
      <c r="S44" s="102"/>
      <c r="T44" s="102"/>
      <c r="U44" s="102"/>
      <c r="V44" s="102"/>
      <c r="W44" s="102"/>
      <c r="X44" s="102"/>
      <c r="Y44" s="99"/>
      <c r="Z44" s="99"/>
      <c r="AA44" s="13"/>
    </row>
    <row r="45" spans="3:28" ht="13.5" thickBot="1" x14ac:dyDescent="0.25">
      <c r="C45" s="12"/>
      <c r="D45" s="103" t="s">
        <v>10</v>
      </c>
      <c r="E45" s="9"/>
      <c r="F45" s="9"/>
      <c r="G45" s="9"/>
      <c r="H45" s="113" t="str">
        <f>IF((ISBLANK('Synergy Project'!$H$32))," ",'Synergy Project'!$H$32)</f>
        <v>Brendon Binder</v>
      </c>
      <c r="I45" s="113"/>
      <c r="J45" s="113"/>
      <c r="K45" s="113"/>
      <c r="L45" s="113"/>
      <c r="M45" s="25"/>
      <c r="N45" s="113" t="str">
        <f>IF((ISBLANK('Synergy Project'!$N$32))," ",'Synergy Project'!$N$32)</f>
        <v>Shruthi Raghavan</v>
      </c>
      <c r="O45" s="113"/>
      <c r="P45" s="113"/>
      <c r="Q45" s="113"/>
      <c r="R45" s="113"/>
      <c r="S45" s="25"/>
      <c r="T45" s="113" t="str">
        <f>IF((ISBLANK('Synergy Project'!$T$32))," ",'Synergy Project'!$T$32)</f>
        <v xml:space="preserve"> </v>
      </c>
      <c r="U45" s="113"/>
      <c r="V45" s="113"/>
      <c r="W45" s="113"/>
      <c r="X45" s="113"/>
      <c r="Y45" s="102"/>
      <c r="Z45" s="102"/>
      <c r="AA45" s="13"/>
    </row>
    <row r="46" spans="3:28" x14ac:dyDescent="0.2">
      <c r="C46" s="12"/>
      <c r="D46" s="103"/>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D47" s="102"/>
      <c r="E47" s="102"/>
      <c r="F47" s="102"/>
      <c r="G47" s="102"/>
      <c r="H47" s="113" t="str">
        <f>IF((ISBLANK('Synergy Project'!$H$34))," ",'Synergy Project'!$H$34)</f>
        <v xml:space="preserve"> </v>
      </c>
      <c r="I47" s="113"/>
      <c r="J47" s="113"/>
      <c r="K47" s="113"/>
      <c r="L47" s="113"/>
      <c r="M47" s="25"/>
      <c r="N47" s="113" t="str">
        <f>IF((ISBLANK('Synergy Project'!$N$34))," ",'Synergy Project'!$N$34)</f>
        <v xml:space="preserve"> </v>
      </c>
      <c r="O47" s="113"/>
      <c r="P47" s="113"/>
      <c r="Q47" s="113"/>
      <c r="R47" s="113"/>
      <c r="S47" s="25"/>
      <c r="T47" s="113" t="str">
        <f>IF((ISBLANK('Synergy Project'!$T$34))," ",'Synergy Project'!$T$34)</f>
        <v xml:space="preserve"> </v>
      </c>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Y6:Z6"/>
    <mergeCell ref="X1:Y1"/>
    <mergeCell ref="Z1:AA1"/>
    <mergeCell ref="C2:AA2"/>
    <mergeCell ref="Y4:Z4"/>
    <mergeCell ref="Y5:Z5"/>
    <mergeCell ref="H4:T4"/>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5" workbookViewId="0">
      <selection activeCell="H30" sqref="H30:L3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2"/>
      <c r="D8" s="84" t="s">
        <v>96</v>
      </c>
      <c r="E8" s="84"/>
      <c r="G8" s="84"/>
      <c r="H8" s="84"/>
      <c r="I8" s="83"/>
      <c r="J8" s="83"/>
      <c r="K8" s="83"/>
      <c r="L8" s="84"/>
      <c r="M8" s="84"/>
      <c r="N8" s="7" t="s">
        <v>6</v>
      </c>
      <c r="O8" s="42" t="s">
        <v>6</v>
      </c>
      <c r="P8" s="84"/>
      <c r="Q8" s="6" t="s">
        <v>4</v>
      </c>
      <c r="R8" s="9"/>
      <c r="S8" s="6"/>
      <c r="T8" s="129"/>
      <c r="U8" s="129"/>
      <c r="V8" s="129"/>
      <c r="W8" s="129"/>
      <c r="X8" s="129"/>
      <c r="Y8" s="129"/>
      <c r="Z8" s="129"/>
      <c r="AA8" s="6"/>
      <c r="AB8" s="3"/>
    </row>
    <row r="9" spans="3:28" ht="15.75" x14ac:dyDescent="0.25">
      <c r="C9" s="142"/>
      <c r="D9" s="84"/>
      <c r="E9" s="84"/>
      <c r="G9" s="84"/>
      <c r="H9" s="84"/>
      <c r="I9" s="83"/>
      <c r="J9" s="83"/>
      <c r="K9" s="83"/>
      <c r="L9" s="84"/>
      <c r="M9" s="84"/>
      <c r="N9" s="7"/>
      <c r="O9" s="84"/>
      <c r="P9" s="84"/>
      <c r="Q9" s="130"/>
      <c r="R9" s="130"/>
      <c r="S9" s="130"/>
      <c r="T9" s="130"/>
      <c r="U9" s="130"/>
      <c r="V9" s="130"/>
      <c r="W9" s="130"/>
      <c r="X9" s="130"/>
      <c r="Y9" s="130"/>
      <c r="Z9" s="130"/>
      <c r="AA9" s="6"/>
      <c r="AB9" s="3"/>
    </row>
    <row r="10" spans="3:28" ht="15.75" x14ac:dyDescent="0.25">
      <c r="C10" s="14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2"/>
      <c r="D11" s="84" t="s">
        <v>25</v>
      </c>
      <c r="E11" s="84"/>
      <c r="G11" s="84"/>
      <c r="H11" s="84"/>
      <c r="I11" s="83"/>
      <c r="J11" s="83"/>
      <c r="K11" s="83"/>
      <c r="L11" s="84"/>
      <c r="M11" s="84"/>
      <c r="N11" s="7" t="s">
        <v>6</v>
      </c>
      <c r="O11" s="42" t="s">
        <v>6</v>
      </c>
      <c r="P11" s="84"/>
      <c r="Q11" s="6" t="s">
        <v>4</v>
      </c>
      <c r="R11" s="9"/>
      <c r="S11" s="6"/>
      <c r="T11" s="129"/>
      <c r="U11" s="129"/>
      <c r="V11" s="129"/>
      <c r="W11" s="129"/>
      <c r="X11" s="129"/>
      <c r="Y11" s="129"/>
      <c r="Z11" s="129"/>
      <c r="AA11" s="6"/>
      <c r="AB11" s="3"/>
    </row>
    <row r="12" spans="3:28" ht="15.75" x14ac:dyDescent="0.25">
      <c r="C12" s="142"/>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75" x14ac:dyDescent="0.25">
      <c r="C13" s="142"/>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2"/>
      <c r="D14" s="84" t="s">
        <v>43</v>
      </c>
      <c r="E14" s="84"/>
      <c r="G14" s="84"/>
      <c r="H14" s="84"/>
      <c r="I14" s="83"/>
      <c r="J14" s="83"/>
      <c r="K14" s="83"/>
      <c r="L14" s="84"/>
      <c r="M14" s="84"/>
      <c r="N14" s="7" t="s">
        <v>6</v>
      </c>
      <c r="O14" s="42" t="s">
        <v>6</v>
      </c>
      <c r="P14" s="84"/>
      <c r="Q14" s="6" t="s">
        <v>4</v>
      </c>
      <c r="R14" s="9"/>
      <c r="S14" s="6"/>
      <c r="T14" s="129"/>
      <c r="U14" s="129"/>
      <c r="V14" s="129"/>
      <c r="W14" s="129"/>
      <c r="X14" s="129"/>
      <c r="Y14" s="129"/>
      <c r="Z14" s="129"/>
      <c r="AA14" s="6"/>
      <c r="AB14" s="3"/>
    </row>
    <row r="15" spans="3:28" ht="15.75" x14ac:dyDescent="0.25">
      <c r="C15" s="142"/>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75" x14ac:dyDescent="0.25">
      <c r="C16" s="14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2"/>
      <c r="D17" s="84" t="s">
        <v>26</v>
      </c>
      <c r="E17" s="84"/>
      <c r="G17" s="84"/>
      <c r="H17" s="84"/>
      <c r="I17" s="83"/>
      <c r="J17" s="83"/>
      <c r="K17" s="83"/>
      <c r="L17" s="84"/>
      <c r="M17" s="84"/>
      <c r="N17" s="7" t="s">
        <v>6</v>
      </c>
      <c r="O17" s="42" t="s">
        <v>6</v>
      </c>
      <c r="P17" s="84"/>
      <c r="Q17" s="6" t="s">
        <v>4</v>
      </c>
      <c r="R17" s="9"/>
      <c r="S17" s="6"/>
      <c r="T17" s="129"/>
      <c r="U17" s="129"/>
      <c r="V17" s="129"/>
      <c r="W17" s="129"/>
      <c r="X17" s="129"/>
      <c r="Y17" s="129"/>
      <c r="Z17" s="129"/>
      <c r="AA17" s="6"/>
      <c r="AB17" s="3"/>
    </row>
    <row r="18" spans="3:28" ht="15.75" x14ac:dyDescent="0.25">
      <c r="C18" s="142"/>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75" x14ac:dyDescent="0.25">
      <c r="C19" s="142"/>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3" t="str">
        <f>IF((ISBLANK('Synergy Project'!$G$28))," ",'Synergy Project'!$G$28)</f>
        <v>Shawn Penning</v>
      </c>
      <c r="H28" s="113"/>
      <c r="I28" s="113"/>
      <c r="J28" s="113"/>
      <c r="K28" s="113"/>
      <c r="L28" s="113"/>
      <c r="M28" s="102"/>
      <c r="N28" s="102"/>
      <c r="O28" s="102"/>
      <c r="P28" s="19" t="s">
        <v>0</v>
      </c>
      <c r="Q28" s="19"/>
      <c r="R28" s="19"/>
      <c r="S28" s="131">
        <f>IF((ISBLANK('Synergy Project'!$S$28))," ",'Synergy Project'!$S$28)</f>
        <v>42874</v>
      </c>
      <c r="T28" s="131"/>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3" t="str">
        <f>IF((ISBLANK('Synergy Project'!$H$30))," ",'Synergy Project'!$H$30)</f>
        <v>Matt Leser</v>
      </c>
      <c r="I30" s="113"/>
      <c r="J30" s="113"/>
      <c r="K30" s="113"/>
      <c r="L30" s="113"/>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3" t="str">
        <f>IF((ISBLANK('Synergy Project'!$H$32))," ",'Synergy Project'!$H$32)</f>
        <v>Brendon Binder</v>
      </c>
      <c r="I32" s="113"/>
      <c r="J32" s="113"/>
      <c r="K32" s="113"/>
      <c r="L32" s="113"/>
      <c r="M32" s="25"/>
      <c r="N32" s="113" t="str">
        <f>IF((ISBLANK('Synergy Project'!$N$32))," ",'Synergy Project'!$N$32)</f>
        <v>Shruthi Raghavan</v>
      </c>
      <c r="O32" s="113"/>
      <c r="P32" s="113"/>
      <c r="Q32" s="113"/>
      <c r="R32" s="113"/>
      <c r="S32" s="25"/>
      <c r="T32" s="113" t="str">
        <f>IF((ISBLANK('Synergy Project'!$T$32))," ",'Synergy Project'!$T$32)</f>
        <v xml:space="preserve"> </v>
      </c>
      <c r="U32" s="113"/>
      <c r="V32" s="113"/>
      <c r="W32" s="113"/>
      <c r="X32" s="113"/>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3" t="str">
        <f>IF((ISBLANK('Synergy Project'!$H$34))," ",'Synergy Project'!$H$34)</f>
        <v xml:space="preserve"> </v>
      </c>
      <c r="I34" s="113"/>
      <c r="J34" s="113"/>
      <c r="K34" s="113"/>
      <c r="L34" s="113"/>
      <c r="M34" s="25"/>
      <c r="N34" s="113" t="str">
        <f>IF((ISBLANK('Synergy Project'!$N$34))," ",'Synergy Project'!$N$34)</f>
        <v xml:space="preserve"> </v>
      </c>
      <c r="O34" s="113"/>
      <c r="P34" s="113"/>
      <c r="Q34" s="113"/>
      <c r="R34" s="113"/>
      <c r="S34" s="25"/>
      <c r="T34" s="113" t="str">
        <f>IF((ISBLANK('Synergy Project'!$T$34))," ",'Synergy Project'!$T$34)</f>
        <v xml:space="preserve"> </v>
      </c>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8"/>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8"/>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8"/>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8"/>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8"/>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75" x14ac:dyDescent="0.25">
      <c r="C17" s="138"/>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8"/>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8"/>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75" x14ac:dyDescent="0.25">
      <c r="C20" s="138"/>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8"/>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8"/>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75" x14ac:dyDescent="0.25">
      <c r="C23" s="138"/>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8"/>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8"/>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75" x14ac:dyDescent="0.25">
      <c r="C26" s="138"/>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8"/>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8"/>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75" x14ac:dyDescent="0.25">
      <c r="C29" s="138"/>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8"/>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8"/>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75" x14ac:dyDescent="0.25">
      <c r="C32" s="138"/>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8"/>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8"/>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25">
      <c r="C35" s="138"/>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75" x14ac:dyDescent="0.25">
      <c r="C36" s="138"/>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75" x14ac:dyDescent="0.25">
      <c r="C37" s="138"/>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8"/>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75" x14ac:dyDescent="0.25">
      <c r="C39" s="138"/>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75" x14ac:dyDescent="0.25">
      <c r="C40" s="138"/>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8"/>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75" x14ac:dyDescent="0.25">
      <c r="C42" s="138"/>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75" x14ac:dyDescent="0.25">
      <c r="C43" s="138"/>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8"/>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8"/>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75" x14ac:dyDescent="0.25">
      <c r="C46" s="138"/>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8"/>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8"/>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75" x14ac:dyDescent="0.25">
      <c r="C49" s="138"/>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8"/>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75" x14ac:dyDescent="0.25">
      <c r="C51" s="138"/>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8"/>
      <c r="D52" t="s">
        <v>116</v>
      </c>
      <c r="Q52" s="130" t="s">
        <v>117</v>
      </c>
      <c r="R52" s="130"/>
      <c r="S52" s="130"/>
      <c r="T52" s="130"/>
      <c r="U52" s="130"/>
      <c r="V52" s="130"/>
      <c r="W52" s="130"/>
      <c r="X52" s="130"/>
      <c r="Y52" s="130"/>
      <c r="Z52" s="130"/>
      <c r="AA52" s="6"/>
      <c r="AB52" s="3"/>
    </row>
    <row r="53" spans="3:28" ht="15.75" x14ac:dyDescent="0.25">
      <c r="C53" s="138"/>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8"/>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8"/>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75" x14ac:dyDescent="0.25">
      <c r="C56" s="138"/>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8"/>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8"/>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8"/>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8"/>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8"/>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75" x14ac:dyDescent="0.25">
      <c r="C62" s="138"/>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8"/>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8"/>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75" x14ac:dyDescent="0.25">
      <c r="C65" s="138"/>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8"/>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8"/>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75" x14ac:dyDescent="0.25">
      <c r="C68" s="138"/>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8"/>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8"/>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8"/>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75" x14ac:dyDescent="0.25">
      <c r="C72" s="138"/>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8"/>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8"/>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75" x14ac:dyDescent="0.25">
      <c r="C75" s="138"/>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8"/>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8"/>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75" x14ac:dyDescent="0.25">
      <c r="C78" s="138"/>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8"/>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8"/>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75" x14ac:dyDescent="0.25">
      <c r="C81" s="138"/>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8"/>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8"/>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75" x14ac:dyDescent="0.25">
      <c r="C84" s="138"/>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8"/>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8"/>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75" x14ac:dyDescent="0.25">
      <c r="C87" s="138"/>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8"/>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8"/>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75" x14ac:dyDescent="0.25">
      <c r="C90" s="138"/>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8"/>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8"/>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8"/>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8"/>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75" x14ac:dyDescent="0.25">
      <c r="C95" s="138"/>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8"/>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8"/>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75" x14ac:dyDescent="0.25">
      <c r="C98" s="138"/>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8"/>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8"/>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75" x14ac:dyDescent="0.25">
      <c r="C101" s="138"/>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8"/>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8"/>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75" x14ac:dyDescent="0.25">
      <c r="C104" s="138"/>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8"/>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8"/>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75" x14ac:dyDescent="0.25">
      <c r="C107" s="138"/>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8"/>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8"/>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8"/>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8"/>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75" x14ac:dyDescent="0.25">
      <c r="C112" s="138"/>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8"/>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8"/>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75" x14ac:dyDescent="0.25">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1"/>
      <c r="T125" s="131"/>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3"/>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3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3"/>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75" x14ac:dyDescent="0.25">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1"/>
      <c r="R76" s="131"/>
      <c r="T76" s="74" t="s">
        <v>102</v>
      </c>
      <c r="X76" s="131"/>
      <c r="Y76" s="131"/>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2"/>
      <c r="Z6" s="112"/>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2"/>
      <c r="Z7" s="112"/>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75" x14ac:dyDescent="0.25">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75" x14ac:dyDescent="0.25">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75" x14ac:dyDescent="0.25">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1"/>
      <c r="T45" s="131"/>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2"/>
      <c r="Z4" s="112"/>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2"/>
      <c r="Z5" s="112"/>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2"/>
      <c r="Z6" s="112"/>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2"/>
      <c r="I9" s="112"/>
      <c r="J9" s="112"/>
      <c r="K9" s="112"/>
      <c r="L9" s="112"/>
      <c r="M9" s="112"/>
      <c r="N9" s="84"/>
      <c r="O9" s="6" t="s">
        <v>189</v>
      </c>
      <c r="P9" s="84"/>
      <c r="Q9" s="84"/>
      <c r="R9" s="84"/>
      <c r="S9" s="84"/>
      <c r="T9" s="84"/>
      <c r="U9" s="112"/>
      <c r="V9" s="112"/>
      <c r="W9" s="112"/>
      <c r="X9" s="112"/>
      <c r="Y9" s="112"/>
      <c r="Z9" s="112"/>
      <c r="AA9" s="6"/>
      <c r="AB9" s="3"/>
    </row>
    <row r="10" spans="3:28" ht="16.5" thickBot="1" x14ac:dyDescent="0.3">
      <c r="D10" s="35" t="s">
        <v>190</v>
      </c>
      <c r="E10" s="6"/>
      <c r="F10" s="6"/>
      <c r="G10" s="6"/>
      <c r="H10" s="139"/>
      <c r="I10" s="139"/>
      <c r="J10" s="139"/>
      <c r="K10" s="139"/>
      <c r="L10" s="139"/>
      <c r="M10" s="139"/>
      <c r="N10" s="84"/>
      <c r="O10" s="6" t="s">
        <v>191</v>
      </c>
      <c r="P10" s="84"/>
      <c r="Q10" s="84"/>
      <c r="R10" s="84"/>
      <c r="S10" s="84"/>
      <c r="T10" s="84"/>
      <c r="U10" s="139"/>
      <c r="V10" s="139"/>
      <c r="W10" s="139"/>
      <c r="X10" s="139"/>
      <c r="Y10" s="139"/>
      <c r="Z10" s="13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104"/>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0" t="s">
        <v>194</v>
      </c>
      <c r="E18" s="141"/>
      <c r="F18" s="141"/>
      <c r="G18" s="141"/>
      <c r="H18" s="141"/>
      <c r="I18" s="141"/>
      <c r="J18" s="141"/>
      <c r="K18" s="141"/>
      <c r="L18" s="141"/>
      <c r="M18" s="141"/>
      <c r="N18" s="7" t="s">
        <v>6</v>
      </c>
      <c r="O18" s="42" t="s">
        <v>6</v>
      </c>
      <c r="P18" s="74"/>
      <c r="Q18" s="6" t="s">
        <v>4</v>
      </c>
      <c r="R18" s="9"/>
      <c r="S18" s="6"/>
      <c r="T18" s="129"/>
      <c r="U18" s="129"/>
      <c r="V18" s="129"/>
      <c r="W18" s="129"/>
      <c r="X18" s="129"/>
      <c r="Y18" s="129"/>
      <c r="Z18" s="129"/>
      <c r="AA18" s="6"/>
      <c r="AB18" s="3"/>
    </row>
    <row r="19" spans="3:28" ht="15.75" x14ac:dyDescent="0.25">
      <c r="C19" s="104"/>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104"/>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104"/>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75" x14ac:dyDescent="0.25">
      <c r="C25" s="104"/>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104"/>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75" x14ac:dyDescent="0.25">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75" x14ac:dyDescent="0.25">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75" x14ac:dyDescent="0.25">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1"/>
      <c r="T41" s="131"/>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2"/>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2"/>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2"/>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2"/>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2"/>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2"/>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2"/>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2"/>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2"/>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2"/>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2"/>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2"/>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75"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75"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75"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1"/>
      <c r="T28" s="131"/>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2"/>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2"/>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2"/>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2"/>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1"/>
      <c r="T29" s="131"/>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1"/>
      <c r="T28" s="131"/>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2017-05-19T17:56:27Z</dcterms:modified>
</cp:coreProperties>
</file>