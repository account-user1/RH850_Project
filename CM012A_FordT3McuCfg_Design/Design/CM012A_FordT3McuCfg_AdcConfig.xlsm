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ynergy\WorkProjects\CM012A_FordT3McuCfg_Design\Design\"/>
    </mc:Choice>
  </mc:AlternateContent>
  <bookViews>
    <workbookView xWindow="240" yWindow="900" windowWidth="11508" windowHeight="4536" tabRatio="693" activeTab="1" xr2:uid="{00000000-000D-0000-FFFF-FFFF00000000}"/>
  </bookViews>
  <sheets>
    <sheet name="Adc0_PhyCh" sheetId="11" r:id="rId1"/>
    <sheet name="Adc0_MotCtrl" sheetId="3" r:id="rId2"/>
    <sheet name="Adc1_PhyCh" sheetId="12" r:id="rId3"/>
    <sheet name="Adc1_2mSec" sheetId="4" r:id="rId4"/>
  </sheets>
  <functionGroups builtInGroupCount="19"/>
  <definedNames>
    <definedName name="_xlnm._FilterDatabase" localSheetId="0" hidden="1">Adc0_PhyCh!$B$2:$H$14</definedName>
    <definedName name="_xlnm._FilterDatabase" localSheetId="2" hidden="1">Adc1_PhyCh!$A$2:$E$14</definedName>
  </definedNames>
  <calcPr calcId="171027"/>
  <customWorkbookViews>
    <customWorkbookView name="Patel, Keyur - Personal View" guid="{AB8E8BA2-0521-46C5-947F-61508E76D025}" mergeInterval="0" personalView="1" maximized="1" windowWidth="1290" windowHeight="670" tabRatio="837" activeSheetId="5"/>
    <customWorkbookView name="Jason Erlenbeck - Personal View" guid="{EAB3996E-FAEF-43F6-8577-BE0258DFEECA}" mergeInterval="0" personalView="1" maximized="1" windowWidth="1916" windowHeight="854" tabRatio="837" activeSheetId="1"/>
  </customWorkbookViews>
</workbook>
</file>

<file path=xl/calcChain.xml><?xml version="1.0" encoding="utf-8"?>
<calcChain xmlns="http://schemas.openxmlformats.org/spreadsheetml/2006/main">
  <c r="E7" i="11" l="1"/>
  <c r="E8" i="11"/>
  <c r="E9" i="11"/>
  <c r="E11" i="11"/>
  <c r="E13" i="11"/>
  <c r="E4" i="11"/>
  <c r="E5" i="11"/>
  <c r="E3" i="11"/>
  <c r="D6" i="12"/>
  <c r="C6" i="12"/>
  <c r="D5" i="12"/>
  <c r="C5" i="12"/>
  <c r="C12" i="12"/>
  <c r="C3" i="12"/>
  <c r="B5" i="3" l="1"/>
  <c r="B6" i="3"/>
  <c r="B4" i="3"/>
  <c r="I20" i="3" l="1"/>
  <c r="I19" i="3"/>
  <c r="I18" i="3"/>
  <c r="I17" i="3"/>
  <c r="I8" i="3"/>
  <c r="I7" i="3"/>
  <c r="I13" i="4" l="1"/>
  <c r="I4" i="4"/>
  <c r="I5" i="4"/>
  <c r="I6" i="4"/>
  <c r="I7" i="4"/>
  <c r="I11" i="4"/>
  <c r="I11" i="3"/>
  <c r="I12" i="3"/>
  <c r="I13" i="3"/>
  <c r="I14" i="3"/>
  <c r="I15" i="3"/>
  <c r="I16" i="3"/>
  <c r="I21" i="3"/>
  <c r="I22" i="3"/>
  <c r="I23" i="3"/>
  <c r="D12" i="12" l="1"/>
  <c r="D3" i="12"/>
  <c r="P32" i="4" l="1"/>
  <c r="I26" i="4"/>
  <c r="I25" i="4"/>
  <c r="I24" i="4"/>
  <c r="I23" i="4"/>
  <c r="I22" i="4"/>
  <c r="I21" i="4"/>
  <c r="I20" i="4"/>
  <c r="I19" i="4"/>
  <c r="I18" i="4"/>
  <c r="I17" i="4"/>
  <c r="I16" i="4"/>
  <c r="I15" i="4"/>
  <c r="I10" i="4"/>
  <c r="I9" i="4"/>
  <c r="I14" i="4"/>
  <c r="I8" i="4"/>
  <c r="I12" i="4"/>
  <c r="I3" i="4"/>
  <c r="I24" i="3" l="1"/>
  <c r="I25" i="3"/>
  <c r="P32" i="3"/>
  <c r="I4" i="3"/>
  <c r="I5" i="3"/>
  <c r="I6" i="3"/>
  <c r="I9" i="3"/>
  <c r="I10" i="3"/>
  <c r="I26" i="3"/>
  <c r="I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Erlenbeck, Jason M</author>
  </authors>
  <commentList>
    <comment ref="D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Pull-up Resistor Control for Physical I/O Channels
0: Pull-up resistor for the target physical I/O channel is off.
1: Pull-up resistor for the target physical I/O channel is on.</t>
        </r>
      </text>
    </comment>
    <comment ref="E2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Pull-up Resistor Control for Physical I/O Channels
0: Pull-up resistor for the target physical I/O channel is off.
1: Pull-up resistor for the target physical I/O channel is on.</t>
        </r>
      </text>
    </comment>
    <comment ref="F2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Conversion Type
0H: Normal A/D conversion
1H: Held value A/D conversion
3H: Self-diagnosis
4H: Normal A/D conversion in addition mode
5H: Normal A/D conversion with the MPX
6H: Normal A/D conversion with the MPX in addition mode</t>
        </r>
      </text>
    </comment>
    <comment ref="G2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Virtual Channel End Interrupt Enable
0: INTADCDnIx is not output at virtual channel end of virtual channel n in SGx
1: INTADCDnIx is output at virtual channel end of virtual channel n in SGx</t>
        </r>
      </text>
    </comment>
    <comment ref="H2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CNVCLS[2:0]                                        GCTRL[5:0]
0H: Normal A/D conversion                     GCTRL[4:0]: Physical channel
1H: Held value A/D conversion                 00H: The voltage held by T&amp;H0 is A/D converted.
                                                          01H: The voltage held by T&amp;H1 is A/D converted.
                                                          02H: The voltage held by T&amp;H2 is A/D converted.
                                                          03H: The voltage held by T&amp;H3 is A/D converted.
                                                          04H: The voltage held by T&amp;H4 is A/D converted.
                                                          05H: The voltage held by T&amp;H5 is A/D converted.
                                                          Other than above: Setting prohibited
3H: Self-diagnosis                                  00H: AVREFH × 0
                                                          04H: AVREFH × 1/4
                                                          08H: AVREFH × 1/2
                                                          0CH: AVREFH × 3/4
                                                          10H: AVREFH × 1
                                                          Other than above: Setting prohibited
</t>
        </r>
      </text>
    </comment>
    <comment ref="I27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Start Pointer</t>
        </r>
      </text>
    </comment>
    <comment ref="I28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End Pointer</t>
        </r>
      </text>
    </comment>
    <comment ref="I29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Multicycle Register
</t>
        </r>
      </text>
    </comment>
    <comment ref="I30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Status Register</t>
        </r>
      </text>
    </comment>
    <comment ref="I31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Start Control</t>
        </r>
      </text>
    </comment>
    <comment ref="I32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Control Register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Erlenbeck, Jason M</author>
  </authors>
  <commentList>
    <comment ref="D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Pull-up Resistor Control for Physical I/O Channels
0: Pull-up resistor for the target physical I/O channel is off.
1: Pull-up resistor for the target physical I/O channel is on.</t>
        </r>
      </text>
    </comment>
    <comment ref="E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Pull-up Resistor Control for Physical I/O Channels
0: Pull-up resistor for the target physical I/O channel is off.
1: Pull-up resistor for the target physical I/O channel is on.</t>
        </r>
      </text>
    </comment>
    <comment ref="F2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Conversion Type
0H: Normal A/D conversion
1H: Held value A/D conversion
3H: Self-diagnosis
4H: Normal A/D conversion in addition mode
5H: Normal A/D conversion with the MPX
6H: Normal A/D conversion with the MPX in addition mode</t>
        </r>
      </text>
    </comment>
    <comment ref="G2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Virtual Channel End Interrupt Enable
0: INTADCDnIx is not output at virtual channel end of virtual channel n in SGx
1: INTADCDnIx is output at virtual channel end of virtual channel n in SGx</t>
        </r>
      </text>
    </comment>
    <comment ref="H2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CNVCLS[2:0]                                        GCTRL[5:0]
0H: Normal A/D conversion                     GCTRL[4:0]: Physical channel
1H: Held value A/D conversion                 00H: The voltage held by T&amp;H0 is A/D converted.
                                                          01H: The voltage held by T&amp;H1 is A/D converted.
                                                          02H: The voltage held by T&amp;H2 is A/D converted.
                                                          03H: The voltage held by T&amp;H3 is A/D converted.
                                                          04H: The voltage held by T&amp;H4 is A/D converted.
                                                          05H: The voltage held by T&amp;H5 is A/D converted.
                                                          Other than above: Setting prohibited
3H: Self-diagnosis                                  00H: AVREFH × 0
                                                          04H: AVREFH × 1/4
                                                          08H: AVREFH × 1/2
                                                          0CH: AVREFH × 3/4
                                                          10H: AVREFH × 1
                                                          Other than above: Setting prohibited
</t>
        </r>
      </text>
    </comment>
    <comment ref="I27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Start Pointer</t>
        </r>
      </text>
    </comment>
    <comment ref="I28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End Pointer</t>
        </r>
      </text>
    </comment>
    <comment ref="I29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Multicycle Register
</t>
        </r>
      </text>
    </comment>
    <comment ref="I30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Status Register</t>
        </r>
      </text>
    </comment>
    <comment ref="I31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Start Control</t>
        </r>
      </text>
    </comment>
    <comment ref="I32" authorId="0" shapeId="0" xr:uid="{00000000-0006-0000-0300-00000B000000}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Control Register
</t>
        </r>
      </text>
    </comment>
  </commentList>
</comments>
</file>

<file path=xl/sharedStrings.xml><?xml version="1.0" encoding="utf-8"?>
<sst xmlns="http://schemas.openxmlformats.org/spreadsheetml/2006/main" count="380" uniqueCount="150">
  <si>
    <t>--</t>
  </si>
  <si>
    <t>Battery - Filtered</t>
  </si>
  <si>
    <t>Controller Temperature</t>
  </si>
  <si>
    <t>Battery - Switched 1</t>
  </si>
  <si>
    <t>Shunt Current Reference - Inverter 1</t>
  </si>
  <si>
    <t>Shunt Current A</t>
  </si>
  <si>
    <t>Shunt Current B</t>
  </si>
  <si>
    <t>Shunt Current C</t>
  </si>
  <si>
    <t>N/A</t>
  </si>
  <si>
    <t>BattVltgSwd1</t>
  </si>
  <si>
    <t>EcuT</t>
  </si>
  <si>
    <t>PUE</t>
  </si>
  <si>
    <t>PDE</t>
  </si>
  <si>
    <t>CNVCLS</t>
  </si>
  <si>
    <t>ADIE</t>
  </si>
  <si>
    <t>Physical Channel</t>
  </si>
  <si>
    <t>Signal Name</t>
  </si>
  <si>
    <t>GCTRL</t>
  </si>
  <si>
    <t>SelfDiag - 1/2</t>
  </si>
  <si>
    <t>Empty</t>
  </si>
  <si>
    <t>Start</t>
  </si>
  <si>
    <t>End</t>
  </si>
  <si>
    <t>Read Only</t>
  </si>
  <si>
    <t>Software Trigger</t>
  </si>
  <si>
    <t>Virtual 
Channel</t>
  </si>
  <si>
    <t>AdcStrtOfCnvn2</t>
  </si>
  <si>
    <t>AdcStrtOfCnvnMotCtrlPeak</t>
  </si>
  <si>
    <t>Trigger
Physical</t>
  </si>
  <si>
    <t>Trigger Name
m File</t>
  </si>
  <si>
    <t>Scan Group 0</t>
  </si>
  <si>
    <t>Scan Group 1</t>
  </si>
  <si>
    <t>Scan Group 2</t>
  </si>
  <si>
    <t>Scan Group 3</t>
  </si>
  <si>
    <t>Scan Group 4</t>
  </si>
  <si>
    <t>MotCtrlMotCurrAdcVlyA</t>
  </si>
  <si>
    <t>MotCtrlMotCurrAdcVlyB</t>
  </si>
  <si>
    <t>MotCtrlMotCurrAdcVlyC</t>
  </si>
  <si>
    <t>MotCtrlMotCurrAdcPeakA</t>
  </si>
  <si>
    <t>MotCtrlMotCurrAdcPeakB</t>
  </si>
  <si>
    <t>MotCtrlMotCurrAdcPeakC</t>
  </si>
  <si>
    <t>MotCtrlMotCurrSnsrOffs1</t>
  </si>
  <si>
    <t>MotCtrlAdc0SelfDiag0</t>
  </si>
  <si>
    <t>MotCtrlAdc0SelfDiag2</t>
  </si>
  <si>
    <t>MotCtrlAdc0SelfDiag4</t>
  </si>
  <si>
    <t>Channel</t>
  </si>
  <si>
    <t>Physical Input Signal</t>
  </si>
  <si>
    <t>Hardware Scaling</t>
  </si>
  <si>
    <t>Scaling Value</t>
  </si>
  <si>
    <t>Scaling Name</t>
  </si>
  <si>
    <t>BATTVLTGSCAGFAC_ULS_F32</t>
  </si>
  <si>
    <t>BATTVLTGSWD1SCAGFAC_ULS_F32</t>
  </si>
  <si>
    <t>SelfDiag - 1</t>
  </si>
  <si>
    <t>SelfDiag - 0</t>
  </si>
  <si>
    <t>SelfDiag - 1/4</t>
  </si>
  <si>
    <t>Adc1ScanGroup3Ref0</t>
  </si>
  <si>
    <t>SelfDiag - 3/4</t>
  </si>
  <si>
    <t>Adc1ScanGroup3Ref1</t>
  </si>
  <si>
    <t>Adc1ScanGroup2Ref0</t>
  </si>
  <si>
    <t>Adc1ScanGroup2Ref1</t>
  </si>
  <si>
    <t>Adc1SelfDiag0</t>
  </si>
  <si>
    <t>Adc1SelfDiag2</t>
  </si>
  <si>
    <t>Adc1SelfDiag4</t>
  </si>
  <si>
    <t>MotCtrlAdc0ScanGroup3Ref0</t>
  </si>
  <si>
    <t>MotCtrlAdc0ScanGroup3Ref1</t>
  </si>
  <si>
    <t>MotCtrlAdc0ScanGroup2Ref0</t>
  </si>
  <si>
    <t>MotCtrlAdc0ScanGroup2Ref1</t>
  </si>
  <si>
    <t>END</t>
  </si>
  <si>
    <t>START</t>
  </si>
  <si>
    <t>MotAg0 - Sine</t>
  </si>
  <si>
    <t>MotAg1 - Sine</t>
  </si>
  <si>
    <t>MotAg0 - Cosine</t>
  </si>
  <si>
    <t>MotAg1 - Cosine</t>
  </si>
  <si>
    <t>Power Disconnect - Override</t>
  </si>
  <si>
    <t>Power Disconnect - Pmos</t>
  </si>
  <si>
    <t>MotAg3 - Cosine</t>
  </si>
  <si>
    <t>Battery Return</t>
  </si>
  <si>
    <t>MotAg3 - Sine</t>
  </si>
  <si>
    <t xml:space="preserve">MotAg0 -Sine </t>
  </si>
  <si>
    <t>MotAg0 -Cos</t>
  </si>
  <si>
    <t xml:space="preserve">MotAg1 -Sine </t>
  </si>
  <si>
    <t xml:space="preserve">MotAg1 -Cos </t>
  </si>
  <si>
    <t>MotCtrlMotAg5Sin</t>
  </si>
  <si>
    <t>MotCtrlMotAg6Sin</t>
  </si>
  <si>
    <t>MotCtrlMotAg5Cos</t>
  </si>
  <si>
    <t>MotCtrlMotAg6Cos</t>
  </si>
  <si>
    <t>ChrgPmpDiag</t>
  </si>
  <si>
    <t>PwrDiscnctSwtDiag</t>
  </si>
  <si>
    <t>BattRtn</t>
  </si>
  <si>
    <t>MotAg2Cos</t>
  </si>
  <si>
    <t>MotAg2Sin</t>
  </si>
  <si>
    <t>Battery Filtered</t>
  </si>
  <si>
    <t>BattVltg</t>
  </si>
  <si>
    <t>CHRGPMPDIAGSCAGFAC_ULS_F32</t>
  </si>
  <si>
    <t>PWRDISCNCTSWTDIAGSCAGFAC_ULS_F32</t>
  </si>
  <si>
    <t>ADCF0I0</t>
  </si>
  <si>
    <t>ADCF0I1</t>
  </si>
  <si>
    <t>ADCF0I2</t>
  </si>
  <si>
    <t>ADCF0I3</t>
  </si>
  <si>
    <t>ADCF0I4</t>
  </si>
  <si>
    <t>ADCF0I5</t>
  </si>
  <si>
    <t>ADCF0I6</t>
  </si>
  <si>
    <t>ADCF0I7</t>
  </si>
  <si>
    <t>ADCF0I8</t>
  </si>
  <si>
    <t>ADCF0I9</t>
  </si>
  <si>
    <t>ADCF0I10</t>
  </si>
  <si>
    <t>ADCF0I11</t>
  </si>
  <si>
    <t>ADCF0I12</t>
  </si>
  <si>
    <t>ADCF0I13</t>
  </si>
  <si>
    <t>ADCF0I14</t>
  </si>
  <si>
    <t>ADCF0I15</t>
  </si>
  <si>
    <t>ADCF0I16</t>
  </si>
  <si>
    <t>ADCF0I17</t>
  </si>
  <si>
    <t>ADCF0I18</t>
  </si>
  <si>
    <t>ADCF0I19</t>
  </si>
  <si>
    <t>ADCF1I0</t>
  </si>
  <si>
    <t>ADCF1I1</t>
  </si>
  <si>
    <t>ADCF1I2</t>
  </si>
  <si>
    <t>ADCF1I3</t>
  </si>
  <si>
    <t>ADCF1I4</t>
  </si>
  <si>
    <t>ADCF1I5</t>
  </si>
  <si>
    <t>ADCF1I6</t>
  </si>
  <si>
    <t>ADCF1I7</t>
  </si>
  <si>
    <t>ADCF1I8</t>
  </si>
  <si>
    <t>ADCF1I9</t>
  </si>
  <si>
    <t>ADCF1I10</t>
  </si>
  <si>
    <t>ADCF1I11</t>
  </si>
  <si>
    <t>ADCF1I12</t>
  </si>
  <si>
    <t>ADCF1I13</t>
  </si>
  <si>
    <t>ADCF1I14</t>
  </si>
  <si>
    <t>ADCF1I15</t>
  </si>
  <si>
    <t>ADCF1I16</t>
  </si>
  <si>
    <t>ADCF1I17</t>
  </si>
  <si>
    <t>ADCF1I18</t>
  </si>
  <si>
    <t>ADCF1I19</t>
  </si>
  <si>
    <t>ADCF0VCRj
(Dec)</t>
  </si>
  <si>
    <t>ADCF0SGVCSPx</t>
  </si>
  <si>
    <t>ADCF0SGVCEPx</t>
  </si>
  <si>
    <t>ADCF0SGMCYCRx</t>
  </si>
  <si>
    <t>ADCF0SGSRx</t>
  </si>
  <si>
    <t>ADCF0SGSTCRx</t>
  </si>
  <si>
    <t>ADCF0SGCRx</t>
  </si>
  <si>
    <t>INTGTM0ATOM01</t>
  </si>
  <si>
    <t>INTGTM0ATOM05</t>
  </si>
  <si>
    <t>ADCF1VCRj
(Dec)</t>
  </si>
  <si>
    <t>ADCF1SGVCSPx</t>
  </si>
  <si>
    <t>ADCF1SGVCEPx</t>
  </si>
  <si>
    <t>ADCF1SGMCYCRx</t>
  </si>
  <si>
    <t>ADCF1SGSRx</t>
  </si>
  <si>
    <t>ADCF1SGSTCRx</t>
  </si>
  <si>
    <t>ADCF1SGCRx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</si>
</sst>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b/>
      <i/>
      <sz val="10"/>
      <name val="Arial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3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Continuous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Continuous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 textRotation="90"/>
    </xf>
    <xf numFmtId="0" fontId="0" fillId="0" borderId="1" xfId="0" applyFill="1" applyBorder="1" applyAlignment="1">
      <alignment horizontal="centerContinuous"/>
    </xf>
    <xf numFmtId="0" fontId="0" fillId="0" borderId="1" xfId="0" applyBorder="1" applyAlignment="1">
      <alignment horizontal="centerContinuous"/>
    </xf>
    <xf numFmtId="0" fontId="0" fillId="0" borderId="1" xfId="0" quotePrefix="1" applyBorder="1" applyAlignment="1">
      <alignment horizontal="centerContinuous"/>
    </xf>
    <xf numFmtId="0" fontId="0" fillId="0" borderId="1" xfId="0" applyBorder="1" applyAlignment="1">
      <alignment horizontal="centerContinuous" wrapText="1"/>
    </xf>
    <xf numFmtId="0" fontId="0" fillId="2" borderId="1" xfId="0" applyFill="1" applyBorder="1" applyAlignment="1">
      <alignment horizontal="centerContinuous"/>
    </xf>
    <xf numFmtId="0" fontId="4" fillId="0" borderId="0" xfId="1" applyFont="1" applyAlignment="1">
      <alignment horizontal="center" vertical="center" wrapText="1"/>
    </xf>
    <xf numFmtId="0" fontId="4" fillId="0" borderId="0" xfId="1" applyFont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wrapText="1"/>
    </xf>
    <xf numFmtId="0" fontId="0" fillId="3" borderId="0" xfId="0" applyFill="1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center"/>
    </xf>
    <xf numFmtId="0" fontId="0" fillId="3" borderId="0" xfId="0" applyFill="1"/>
    <xf numFmtId="0" fontId="5" fillId="3" borderId="0" xfId="0" applyFont="1" applyFill="1" applyAlignment="1">
      <alignment wrapText="1"/>
    </xf>
    <xf numFmtId="0" fontId="0" fillId="4" borderId="0" xfId="0" applyFill="1" applyAlignment="1">
      <alignment horizontal="center"/>
    </xf>
    <xf numFmtId="0" fontId="5" fillId="4" borderId="0" xfId="0" applyFont="1" applyFill="1"/>
    <xf numFmtId="0" fontId="5" fillId="4" borderId="0" xfId="0" applyFont="1" applyFill="1" applyAlignment="1">
      <alignment wrapText="1"/>
    </xf>
    <xf numFmtId="0" fontId="5" fillId="4" borderId="0" xfId="0" applyFont="1" applyFill="1" applyAlignment="1">
      <alignment horizontal="center"/>
    </xf>
    <xf numFmtId="0" fontId="0" fillId="4" borderId="0" xfId="0" applyFill="1"/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22"/>
  <sheetViews>
    <sheetView zoomScaleNormal="100" workbookViewId="0">
      <pane ySplit="2" topLeftCell="A3" activePane="bottomLeft" state="frozen"/>
      <selection pane="bottomLeft" activeCell="B32" sqref="B32"/>
    </sheetView>
  </sheetViews>
  <sheetFormatPr defaultColWidth="25.6640625" defaultRowHeight="14.4" x14ac:dyDescent="0.3"/>
  <cols>
    <col min="2" max="2" width="18" style="3" customWidth="1"/>
    <col min="3" max="3" width="32.21875" customWidth="1"/>
    <col min="4" max="4" width="18.77734375" style="3" customWidth="1"/>
    <col min="5" max="5" width="17.77734375" customWidth="1"/>
  </cols>
  <sheetData>
    <row r="1" spans="1:6" x14ac:dyDescent="0.3">
      <c r="B1" s="14" t="s">
        <v>44</v>
      </c>
      <c r="C1" s="15" t="s">
        <v>45</v>
      </c>
      <c r="D1" s="15" t="s">
        <v>46</v>
      </c>
      <c r="E1" s="15" t="s">
        <v>47</v>
      </c>
      <c r="F1" s="15" t="s">
        <v>48</v>
      </c>
    </row>
    <row r="2" spans="1:6" x14ac:dyDescent="0.3">
      <c r="B2" s="14"/>
      <c r="C2" s="15"/>
      <c r="D2" s="15"/>
    </row>
    <row r="3" spans="1:6" x14ac:dyDescent="0.3">
      <c r="A3">
        <v>0</v>
      </c>
      <c r="B3" s="3" t="s">
        <v>94</v>
      </c>
      <c r="C3" t="s">
        <v>5</v>
      </c>
      <c r="D3" s="3">
        <v>1</v>
      </c>
      <c r="E3" s="3">
        <f>1/D3</f>
        <v>1</v>
      </c>
      <c r="F3" s="3" t="s">
        <v>8</v>
      </c>
    </row>
    <row r="4" spans="1:6" x14ac:dyDescent="0.3">
      <c r="A4">
        <v>1</v>
      </c>
      <c r="B4" s="3" t="s">
        <v>95</v>
      </c>
      <c r="C4" t="s">
        <v>6</v>
      </c>
      <c r="D4" s="3">
        <v>1</v>
      </c>
      <c r="E4" s="3">
        <f t="shared" ref="E4:E13" si="0">1/D4</f>
        <v>1</v>
      </c>
      <c r="F4" s="3" t="s">
        <v>8</v>
      </c>
    </row>
    <row r="5" spans="1:6" x14ac:dyDescent="0.3">
      <c r="A5">
        <v>2</v>
      </c>
      <c r="B5" s="3" t="s">
        <v>96</v>
      </c>
      <c r="C5" t="s">
        <v>7</v>
      </c>
      <c r="D5" s="3">
        <v>1</v>
      </c>
      <c r="E5" s="3">
        <f t="shared" si="0"/>
        <v>1</v>
      </c>
      <c r="F5" s="3" t="s">
        <v>8</v>
      </c>
    </row>
    <row r="6" spans="1:6" x14ac:dyDescent="0.3">
      <c r="A6">
        <v>3</v>
      </c>
      <c r="B6" s="3" t="s">
        <v>97</v>
      </c>
      <c r="C6" t="s">
        <v>0</v>
      </c>
      <c r="D6" s="3" t="s">
        <v>8</v>
      </c>
      <c r="E6" s="3" t="s">
        <v>8</v>
      </c>
      <c r="F6" s="3" t="s">
        <v>8</v>
      </c>
    </row>
    <row r="7" spans="1:6" x14ac:dyDescent="0.3">
      <c r="A7">
        <v>4</v>
      </c>
      <c r="B7" s="3" t="s">
        <v>98</v>
      </c>
      <c r="C7" t="s">
        <v>68</v>
      </c>
      <c r="D7" s="3">
        <v>1</v>
      </c>
      <c r="E7" s="3">
        <f t="shared" si="0"/>
        <v>1</v>
      </c>
      <c r="F7" s="3" t="s">
        <v>8</v>
      </c>
    </row>
    <row r="8" spans="1:6" x14ac:dyDescent="0.3">
      <c r="A8">
        <v>5</v>
      </c>
      <c r="B8" s="3" t="s">
        <v>99</v>
      </c>
      <c r="C8" t="s">
        <v>69</v>
      </c>
      <c r="D8" s="3">
        <v>1</v>
      </c>
      <c r="E8" s="3">
        <f t="shared" si="0"/>
        <v>1</v>
      </c>
      <c r="F8" s="3" t="s">
        <v>8</v>
      </c>
    </row>
    <row r="9" spans="1:6" x14ac:dyDescent="0.3">
      <c r="A9">
        <v>6</v>
      </c>
      <c r="B9" s="3" t="s">
        <v>100</v>
      </c>
      <c r="C9" t="s">
        <v>70</v>
      </c>
      <c r="D9" s="3">
        <v>1</v>
      </c>
      <c r="E9" s="3">
        <f t="shared" si="0"/>
        <v>1</v>
      </c>
      <c r="F9" s="3" t="s">
        <v>8</v>
      </c>
    </row>
    <row r="10" spans="1:6" x14ac:dyDescent="0.3">
      <c r="A10">
        <v>7</v>
      </c>
      <c r="B10" s="3" t="s">
        <v>101</v>
      </c>
      <c r="C10" t="s">
        <v>0</v>
      </c>
      <c r="D10" s="3" t="s">
        <v>8</v>
      </c>
      <c r="E10" s="3" t="s">
        <v>8</v>
      </c>
      <c r="F10" s="3" t="s">
        <v>8</v>
      </c>
    </row>
    <row r="11" spans="1:6" x14ac:dyDescent="0.3">
      <c r="A11">
        <v>8</v>
      </c>
      <c r="B11" s="3" t="s">
        <v>102</v>
      </c>
      <c r="C11" t="s">
        <v>71</v>
      </c>
      <c r="D11" s="3">
        <v>1</v>
      </c>
      <c r="E11" s="3">
        <f t="shared" si="0"/>
        <v>1</v>
      </c>
      <c r="F11" s="3" t="s">
        <v>8</v>
      </c>
    </row>
    <row r="12" spans="1:6" x14ac:dyDescent="0.3">
      <c r="A12">
        <v>9</v>
      </c>
      <c r="B12" s="3" t="s">
        <v>103</v>
      </c>
      <c r="C12" t="s">
        <v>0</v>
      </c>
      <c r="D12" s="3" t="s">
        <v>8</v>
      </c>
      <c r="E12" s="3" t="s">
        <v>8</v>
      </c>
      <c r="F12" s="3" t="s">
        <v>8</v>
      </c>
    </row>
    <row r="13" spans="1:6" x14ac:dyDescent="0.3">
      <c r="A13">
        <v>10</v>
      </c>
      <c r="B13" s="3" t="s">
        <v>104</v>
      </c>
      <c r="C13" t="s">
        <v>4</v>
      </c>
      <c r="D13" s="3">
        <v>1</v>
      </c>
      <c r="E13" s="3">
        <f t="shared" si="0"/>
        <v>1</v>
      </c>
      <c r="F13" s="3" t="s">
        <v>8</v>
      </c>
    </row>
    <row r="14" spans="1:6" x14ac:dyDescent="0.3">
      <c r="A14">
        <v>11</v>
      </c>
      <c r="B14" s="3" t="s">
        <v>105</v>
      </c>
      <c r="C14" t="s">
        <v>0</v>
      </c>
      <c r="D14" s="3" t="s">
        <v>8</v>
      </c>
      <c r="E14" s="3" t="s">
        <v>8</v>
      </c>
      <c r="F14" s="3" t="s">
        <v>8</v>
      </c>
    </row>
    <row r="15" spans="1:6" x14ac:dyDescent="0.3">
      <c r="A15">
        <v>12</v>
      </c>
      <c r="B15" s="3" t="s">
        <v>106</v>
      </c>
      <c r="C15" t="s">
        <v>0</v>
      </c>
      <c r="D15" s="3" t="s">
        <v>8</v>
      </c>
      <c r="E15" s="3" t="s">
        <v>8</v>
      </c>
      <c r="F15" s="3" t="s">
        <v>8</v>
      </c>
    </row>
    <row r="16" spans="1:6" x14ac:dyDescent="0.3">
      <c r="A16">
        <v>13</v>
      </c>
      <c r="B16" s="3" t="s">
        <v>107</v>
      </c>
      <c r="C16" t="s">
        <v>0</v>
      </c>
      <c r="D16" s="3" t="s">
        <v>8</v>
      </c>
      <c r="E16" s="3" t="s">
        <v>8</v>
      </c>
      <c r="F16" s="3" t="s">
        <v>8</v>
      </c>
    </row>
    <row r="17" spans="1:6" x14ac:dyDescent="0.3">
      <c r="A17">
        <v>14</v>
      </c>
      <c r="B17" s="3" t="s">
        <v>108</v>
      </c>
      <c r="C17" t="s">
        <v>0</v>
      </c>
      <c r="D17" s="3" t="s">
        <v>8</v>
      </c>
      <c r="E17" s="3" t="s">
        <v>8</v>
      </c>
      <c r="F17" s="3" t="s">
        <v>8</v>
      </c>
    </row>
    <row r="18" spans="1:6" x14ac:dyDescent="0.3">
      <c r="A18">
        <v>15</v>
      </c>
      <c r="B18" s="3" t="s">
        <v>109</v>
      </c>
      <c r="C18" t="s">
        <v>0</v>
      </c>
      <c r="D18" s="3" t="s">
        <v>8</v>
      </c>
      <c r="E18" s="3" t="s">
        <v>8</v>
      </c>
      <c r="F18" s="3" t="s">
        <v>8</v>
      </c>
    </row>
    <row r="19" spans="1:6" x14ac:dyDescent="0.3">
      <c r="A19">
        <v>16</v>
      </c>
      <c r="B19" s="3" t="s">
        <v>110</v>
      </c>
      <c r="C19" t="s">
        <v>0</v>
      </c>
      <c r="D19" s="3" t="s">
        <v>8</v>
      </c>
      <c r="E19" s="3" t="s">
        <v>8</v>
      </c>
      <c r="F19" s="3" t="s">
        <v>8</v>
      </c>
    </row>
    <row r="20" spans="1:6" x14ac:dyDescent="0.3">
      <c r="A20">
        <v>17</v>
      </c>
      <c r="B20" s="3" t="s">
        <v>111</v>
      </c>
      <c r="C20" t="s">
        <v>0</v>
      </c>
      <c r="D20" s="3" t="s">
        <v>8</v>
      </c>
      <c r="E20" s="3" t="s">
        <v>8</v>
      </c>
      <c r="F20" s="3" t="s">
        <v>8</v>
      </c>
    </row>
    <row r="21" spans="1:6" x14ac:dyDescent="0.3">
      <c r="A21">
        <v>18</v>
      </c>
      <c r="B21" s="3" t="s">
        <v>112</v>
      </c>
      <c r="C21" t="s">
        <v>0</v>
      </c>
      <c r="D21" s="3" t="s">
        <v>8</v>
      </c>
      <c r="E21" s="3" t="s">
        <v>8</v>
      </c>
      <c r="F21" s="3" t="s">
        <v>8</v>
      </c>
    </row>
    <row r="22" spans="1:6" x14ac:dyDescent="0.3">
      <c r="A22">
        <v>19</v>
      </c>
      <c r="B22" s="3" t="s">
        <v>113</v>
      </c>
      <c r="C22" t="s">
        <v>0</v>
      </c>
      <c r="D22" s="3" t="s">
        <v>8</v>
      </c>
      <c r="E22" s="3" t="s">
        <v>8</v>
      </c>
      <c r="F22" s="3" t="s">
        <v>8</v>
      </c>
    </row>
  </sheetData>
  <autoFilter ref="B2:H14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S35"/>
  <sheetViews>
    <sheetView tabSelected="1" zoomScale="70" zoomScaleNormal="70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C15" sqref="C15"/>
    </sheetView>
  </sheetViews>
  <sheetFormatPr defaultRowHeight="14.4" x14ac:dyDescent="0.3"/>
  <cols>
    <col min="1" max="1" width="11.109375" style="3" customWidth="1"/>
    <col min="2" max="2" width="32" bestFit="1" customWidth="1"/>
    <col min="3" max="3" width="36" customWidth="1"/>
    <col min="4" max="8" width="5.33203125" style="3" bestFit="1" customWidth="1"/>
    <col min="9" max="9" width="20" style="3" bestFit="1" customWidth="1"/>
    <col min="10" max="19" width="15.6640625" customWidth="1"/>
  </cols>
  <sheetData>
    <row r="1" spans="1:19" x14ac:dyDescent="0.3">
      <c r="J1" s="2" t="s">
        <v>29</v>
      </c>
      <c r="K1" s="6"/>
      <c r="L1" s="2" t="s">
        <v>30</v>
      </c>
      <c r="M1" s="6"/>
      <c r="N1" s="2" t="s">
        <v>31</v>
      </c>
      <c r="O1" s="6"/>
      <c r="P1" s="2" t="s">
        <v>32</v>
      </c>
      <c r="Q1" s="6"/>
      <c r="R1" s="2" t="s">
        <v>33</v>
      </c>
      <c r="S1" s="6"/>
    </row>
    <row r="2" spans="1:19" ht="40.200000000000003" x14ac:dyDescent="0.3">
      <c r="A2" s="4" t="s">
        <v>24</v>
      </c>
      <c r="B2" t="s">
        <v>15</v>
      </c>
      <c r="C2" t="s">
        <v>16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17</v>
      </c>
      <c r="I2" s="4" t="s">
        <v>134</v>
      </c>
      <c r="J2" s="3" t="s">
        <v>20</v>
      </c>
      <c r="K2" s="3" t="s">
        <v>21</v>
      </c>
      <c r="L2" s="3" t="s">
        <v>20</v>
      </c>
      <c r="M2" s="3" t="s">
        <v>21</v>
      </c>
      <c r="N2" s="3" t="s">
        <v>20</v>
      </c>
      <c r="O2" s="3" t="s">
        <v>21</v>
      </c>
      <c r="P2" s="3" t="s">
        <v>20</v>
      </c>
      <c r="Q2" s="3" t="s">
        <v>21</v>
      </c>
      <c r="R2" s="3" t="s">
        <v>20</v>
      </c>
      <c r="S2" s="3" t="s">
        <v>21</v>
      </c>
    </row>
    <row r="3" spans="1:19" s="22" customFormat="1" x14ac:dyDescent="0.3">
      <c r="A3" s="19">
        <v>0</v>
      </c>
      <c r="B3" s="20" t="s">
        <v>53</v>
      </c>
      <c r="C3" s="20" t="s">
        <v>62</v>
      </c>
      <c r="D3" s="21">
        <v>0</v>
      </c>
      <c r="E3" s="21">
        <v>0</v>
      </c>
      <c r="F3" s="21">
        <v>3</v>
      </c>
      <c r="G3" s="21">
        <v>0</v>
      </c>
      <c r="H3" s="21">
        <v>4</v>
      </c>
      <c r="I3" s="19">
        <f>2^17*D3+2^16*E3+2^13*F3+2^7*G3+H3</f>
        <v>24580</v>
      </c>
      <c r="J3" s="19" t="s">
        <v>20</v>
      </c>
      <c r="K3" s="19"/>
      <c r="M3" s="19"/>
      <c r="O3" s="19"/>
      <c r="P3" s="19" t="s">
        <v>67</v>
      </c>
      <c r="Q3" s="19"/>
      <c r="R3" s="19" t="s">
        <v>20</v>
      </c>
      <c r="S3" s="19" t="s">
        <v>21</v>
      </c>
    </row>
    <row r="4" spans="1:19" x14ac:dyDescent="0.3">
      <c r="A4" s="3">
        <v>1</v>
      </c>
      <c r="B4" s="16" t="str">
        <f>VLOOKUP(H4,Adc0_PhyCh!$A$3:$C$22,3)</f>
        <v>Shunt Current A</v>
      </c>
      <c r="C4" s="16" t="s">
        <v>34</v>
      </c>
      <c r="D4" s="17">
        <v>0</v>
      </c>
      <c r="E4" s="17">
        <v>0</v>
      </c>
      <c r="F4" s="17">
        <v>0</v>
      </c>
      <c r="G4" s="17">
        <v>0</v>
      </c>
      <c r="H4" s="17">
        <v>0</v>
      </c>
      <c r="I4" s="5">
        <f t="shared" ref="I4:I26" si="0">2^17*D4+2^16*E4+2^13*F4+2^7*G4+H4</f>
        <v>0</v>
      </c>
      <c r="J4" s="3"/>
      <c r="K4" s="3"/>
      <c r="L4" s="3"/>
      <c r="M4" s="3"/>
      <c r="N4" s="3"/>
      <c r="O4" s="3"/>
      <c r="P4" s="3"/>
      <c r="Q4" s="3"/>
      <c r="R4" s="3"/>
      <c r="S4" s="3"/>
    </row>
    <row r="5" spans="1:19" x14ac:dyDescent="0.3">
      <c r="A5" s="3">
        <v>2</v>
      </c>
      <c r="B5" s="16" t="str">
        <f>VLOOKUP(H5,Adc0_PhyCh!$A$3:$C$22,3)</f>
        <v>Shunt Current B</v>
      </c>
      <c r="C5" s="16" t="s">
        <v>35</v>
      </c>
      <c r="D5" s="17">
        <v>0</v>
      </c>
      <c r="E5" s="17">
        <v>0</v>
      </c>
      <c r="F5" s="17">
        <v>0</v>
      </c>
      <c r="G5" s="17">
        <v>0</v>
      </c>
      <c r="H5" s="17">
        <v>1</v>
      </c>
      <c r="I5" s="5">
        <f t="shared" si="0"/>
        <v>1</v>
      </c>
      <c r="J5" s="3"/>
      <c r="K5" s="3"/>
      <c r="L5" s="3"/>
      <c r="M5" s="3"/>
      <c r="N5" s="3"/>
      <c r="O5" s="3"/>
      <c r="P5" s="3"/>
      <c r="Q5" s="3"/>
      <c r="R5" s="3"/>
      <c r="S5" s="3"/>
    </row>
    <row r="6" spans="1:19" x14ac:dyDescent="0.3">
      <c r="A6" s="3">
        <v>3</v>
      </c>
      <c r="B6" s="16" t="str">
        <f>VLOOKUP(H6,Adc0_PhyCh!$A$3:$C$22,3)</f>
        <v>Shunt Current C</v>
      </c>
      <c r="C6" s="16" t="s">
        <v>36</v>
      </c>
      <c r="D6" s="17">
        <v>0</v>
      </c>
      <c r="E6" s="17">
        <v>0</v>
      </c>
      <c r="F6" s="17">
        <v>0</v>
      </c>
      <c r="G6" s="17">
        <v>0</v>
      </c>
      <c r="H6" s="17">
        <v>2</v>
      </c>
      <c r="I6" s="5">
        <f t="shared" si="0"/>
        <v>2</v>
      </c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 s="22" customFormat="1" x14ac:dyDescent="0.3">
      <c r="A7" s="19">
        <v>4</v>
      </c>
      <c r="B7" s="20" t="s">
        <v>55</v>
      </c>
      <c r="C7" s="23" t="s">
        <v>63</v>
      </c>
      <c r="D7" s="21">
        <v>0</v>
      </c>
      <c r="E7" s="21">
        <v>0</v>
      </c>
      <c r="F7" s="21">
        <v>3</v>
      </c>
      <c r="G7" s="21">
        <v>0</v>
      </c>
      <c r="H7" s="21">
        <v>12</v>
      </c>
      <c r="I7" s="19">
        <f t="shared" ref="I7:I8" si="1">2^17*D7+2^16*E7+2^13*F7+2^7*G7+H7</f>
        <v>24588</v>
      </c>
      <c r="J7" s="19"/>
      <c r="K7" s="19"/>
      <c r="L7" s="19"/>
      <c r="M7" s="19"/>
      <c r="N7" s="19"/>
      <c r="O7" s="19"/>
      <c r="P7" s="19"/>
      <c r="Q7" s="19" t="s">
        <v>66</v>
      </c>
      <c r="R7" s="19"/>
      <c r="S7" s="19"/>
    </row>
    <row r="8" spans="1:19" s="28" customFormat="1" x14ac:dyDescent="0.3">
      <c r="A8" s="24">
        <v>5</v>
      </c>
      <c r="B8" s="25" t="s">
        <v>53</v>
      </c>
      <c r="C8" s="26" t="s">
        <v>64</v>
      </c>
      <c r="D8" s="27">
        <v>0</v>
      </c>
      <c r="E8" s="27">
        <v>0</v>
      </c>
      <c r="F8" s="27">
        <v>3</v>
      </c>
      <c r="G8" s="27">
        <v>0</v>
      </c>
      <c r="H8" s="27">
        <v>4</v>
      </c>
      <c r="I8" s="24">
        <f t="shared" si="1"/>
        <v>24580</v>
      </c>
      <c r="J8" s="24"/>
      <c r="K8" s="24"/>
      <c r="L8" s="24"/>
      <c r="M8" s="24"/>
      <c r="N8" s="24" t="s">
        <v>67</v>
      </c>
      <c r="O8" s="24"/>
      <c r="P8" s="24"/>
      <c r="Q8" s="24"/>
      <c r="R8" s="24"/>
      <c r="S8" s="24"/>
    </row>
    <row r="9" spans="1:19" x14ac:dyDescent="0.3">
      <c r="A9" s="3">
        <v>6</v>
      </c>
      <c r="B9" s="16" t="s">
        <v>5</v>
      </c>
      <c r="C9" s="16" t="s">
        <v>37</v>
      </c>
      <c r="D9" s="3">
        <v>0</v>
      </c>
      <c r="E9" s="3">
        <v>0</v>
      </c>
      <c r="F9" s="3">
        <v>0</v>
      </c>
      <c r="G9" s="3">
        <v>0</v>
      </c>
      <c r="H9" s="17">
        <v>0</v>
      </c>
      <c r="I9" s="5">
        <f t="shared" si="0"/>
        <v>0</v>
      </c>
      <c r="J9" s="3"/>
      <c r="K9" s="3"/>
      <c r="L9" s="3"/>
      <c r="M9" s="3"/>
      <c r="O9" s="3"/>
      <c r="Q9" s="3"/>
      <c r="S9" s="3"/>
    </row>
    <row r="10" spans="1:19" x14ac:dyDescent="0.3">
      <c r="A10" s="3">
        <v>7</v>
      </c>
      <c r="B10" s="16" t="s">
        <v>6</v>
      </c>
      <c r="C10" s="16" t="s">
        <v>38</v>
      </c>
      <c r="D10" s="3">
        <v>0</v>
      </c>
      <c r="E10" s="3">
        <v>0</v>
      </c>
      <c r="F10" s="3">
        <v>0</v>
      </c>
      <c r="G10" s="3">
        <v>0</v>
      </c>
      <c r="H10" s="17">
        <v>1</v>
      </c>
      <c r="I10" s="5">
        <f t="shared" si="0"/>
        <v>1</v>
      </c>
      <c r="J10" s="3"/>
      <c r="K10" s="3"/>
      <c r="L10" s="3"/>
      <c r="M10" s="3"/>
      <c r="O10" s="3"/>
      <c r="Q10" s="3"/>
      <c r="S10" s="3"/>
    </row>
    <row r="11" spans="1:19" x14ac:dyDescent="0.3">
      <c r="A11" s="3">
        <v>8</v>
      </c>
      <c r="B11" s="16" t="s">
        <v>7</v>
      </c>
      <c r="C11" s="16" t="s">
        <v>39</v>
      </c>
      <c r="D11" s="3">
        <v>0</v>
      </c>
      <c r="E11" s="3">
        <v>0</v>
      </c>
      <c r="F11" s="3">
        <v>0</v>
      </c>
      <c r="G11" s="3">
        <v>0</v>
      </c>
      <c r="H11" s="17">
        <v>2</v>
      </c>
      <c r="I11" s="5">
        <f t="shared" si="0"/>
        <v>2</v>
      </c>
      <c r="J11" s="3"/>
      <c r="K11" s="3"/>
      <c r="L11" s="3"/>
      <c r="M11" s="3"/>
      <c r="O11" s="3"/>
      <c r="Q11" s="3"/>
      <c r="S11" s="3"/>
    </row>
    <row r="12" spans="1:19" x14ac:dyDescent="0.3">
      <c r="A12" s="3">
        <v>9</v>
      </c>
      <c r="B12" s="16" t="s">
        <v>4</v>
      </c>
      <c r="C12" s="16" t="s">
        <v>40</v>
      </c>
      <c r="D12" s="3">
        <v>0</v>
      </c>
      <c r="E12" s="3">
        <v>0</v>
      </c>
      <c r="F12" s="3">
        <v>0</v>
      </c>
      <c r="G12" s="3">
        <v>0</v>
      </c>
      <c r="H12" s="3">
        <v>10</v>
      </c>
      <c r="I12" s="5">
        <f t="shared" si="0"/>
        <v>10</v>
      </c>
      <c r="J12" s="3"/>
      <c r="K12" s="3"/>
      <c r="L12" s="3"/>
      <c r="M12" s="3"/>
      <c r="O12" s="3"/>
      <c r="Q12" s="3"/>
      <c r="S12" s="3"/>
    </row>
    <row r="13" spans="1:19" x14ac:dyDescent="0.3">
      <c r="A13" s="3">
        <v>10</v>
      </c>
      <c r="B13" s="16" t="s">
        <v>77</v>
      </c>
      <c r="C13" s="18" t="s">
        <v>81</v>
      </c>
      <c r="D13" s="3">
        <v>0</v>
      </c>
      <c r="E13" s="3">
        <v>0</v>
      </c>
      <c r="F13" s="3">
        <v>0</v>
      </c>
      <c r="G13" s="3">
        <v>0</v>
      </c>
      <c r="H13" s="3">
        <v>4</v>
      </c>
      <c r="I13" s="5">
        <f t="shared" si="0"/>
        <v>4</v>
      </c>
      <c r="J13" s="3"/>
      <c r="K13" s="3"/>
      <c r="L13" s="3"/>
      <c r="M13" s="3"/>
      <c r="O13" s="3"/>
      <c r="Q13" s="3"/>
      <c r="S13" s="3"/>
    </row>
    <row r="14" spans="1:19" x14ac:dyDescent="0.3">
      <c r="A14" s="3">
        <v>11</v>
      </c>
      <c r="B14" s="16" t="s">
        <v>78</v>
      </c>
      <c r="C14" t="s">
        <v>83</v>
      </c>
      <c r="D14" s="3">
        <v>0</v>
      </c>
      <c r="E14" s="3">
        <v>0</v>
      </c>
      <c r="F14" s="3">
        <v>0</v>
      </c>
      <c r="G14" s="3">
        <v>0</v>
      </c>
      <c r="H14" s="3">
        <v>6</v>
      </c>
      <c r="I14" s="5">
        <f t="shared" si="0"/>
        <v>6</v>
      </c>
      <c r="J14" s="3"/>
      <c r="K14" s="3"/>
      <c r="L14" s="3"/>
      <c r="M14" s="3"/>
      <c r="O14" s="3"/>
      <c r="Q14" s="3"/>
      <c r="S14" s="3"/>
    </row>
    <row r="15" spans="1:19" x14ac:dyDescent="0.3">
      <c r="A15" s="3">
        <v>12</v>
      </c>
      <c r="B15" s="16" t="s">
        <v>79</v>
      </c>
      <c r="C15" s="18" t="s">
        <v>82</v>
      </c>
      <c r="D15" s="3">
        <v>0</v>
      </c>
      <c r="E15" s="3">
        <v>0</v>
      </c>
      <c r="F15" s="3">
        <v>0</v>
      </c>
      <c r="G15" s="3">
        <v>0</v>
      </c>
      <c r="H15" s="3">
        <v>5</v>
      </c>
      <c r="I15" s="5">
        <f t="shared" si="0"/>
        <v>5</v>
      </c>
      <c r="J15" s="3"/>
      <c r="K15" s="3"/>
      <c r="L15" s="3"/>
      <c r="M15" s="3"/>
      <c r="O15" s="3"/>
      <c r="Q15" s="3"/>
      <c r="S15" s="3"/>
    </row>
    <row r="16" spans="1:19" x14ac:dyDescent="0.3">
      <c r="A16" s="3">
        <v>13</v>
      </c>
      <c r="B16" s="16" t="s">
        <v>80</v>
      </c>
      <c r="C16" s="18" t="s">
        <v>84</v>
      </c>
      <c r="D16" s="3">
        <v>0</v>
      </c>
      <c r="E16" s="3">
        <v>0</v>
      </c>
      <c r="F16" s="3">
        <v>0</v>
      </c>
      <c r="G16" s="3">
        <v>0</v>
      </c>
      <c r="H16" s="3">
        <v>8</v>
      </c>
      <c r="I16" s="5">
        <f t="shared" si="0"/>
        <v>8</v>
      </c>
      <c r="J16" s="3"/>
      <c r="K16" s="3"/>
      <c r="L16" s="3"/>
      <c r="M16" s="3"/>
      <c r="O16" s="3"/>
      <c r="Q16" s="3"/>
      <c r="S16" s="3"/>
    </row>
    <row r="17" spans="1:19" s="28" customFormat="1" x14ac:dyDescent="0.3">
      <c r="A17" s="24">
        <v>14</v>
      </c>
      <c r="B17" s="25" t="s">
        <v>55</v>
      </c>
      <c r="C17" s="26" t="s">
        <v>65</v>
      </c>
      <c r="D17" s="27">
        <v>0</v>
      </c>
      <c r="E17" s="27">
        <v>0</v>
      </c>
      <c r="F17" s="27">
        <v>3</v>
      </c>
      <c r="G17" s="27">
        <v>0</v>
      </c>
      <c r="H17" s="27">
        <v>12</v>
      </c>
      <c r="I17" s="24">
        <f t="shared" ref="I17:I20" si="2">2^17*D17+2^16*E17+2^13*F17+2^7*G17+H17</f>
        <v>24588</v>
      </c>
      <c r="J17" s="24"/>
      <c r="K17" s="24"/>
      <c r="L17" s="24"/>
      <c r="M17" s="24"/>
      <c r="N17" s="24"/>
      <c r="O17" s="24" t="s">
        <v>66</v>
      </c>
      <c r="P17" s="24"/>
      <c r="Q17" s="24"/>
      <c r="R17" s="24"/>
      <c r="S17" s="24"/>
    </row>
    <row r="18" spans="1:19" x14ac:dyDescent="0.3">
      <c r="A18" s="3">
        <v>15</v>
      </c>
      <c r="B18" t="s">
        <v>19</v>
      </c>
      <c r="D18" s="3">
        <v>0</v>
      </c>
      <c r="E18" s="3">
        <v>0</v>
      </c>
      <c r="F18" s="3">
        <v>3</v>
      </c>
      <c r="G18" s="3">
        <v>0</v>
      </c>
      <c r="H18" s="3">
        <v>8</v>
      </c>
      <c r="I18" s="5">
        <f t="shared" si="2"/>
        <v>24584</v>
      </c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x14ac:dyDescent="0.3">
      <c r="A19" s="3">
        <v>16</v>
      </c>
      <c r="B19" t="s">
        <v>19</v>
      </c>
      <c r="D19" s="3">
        <v>0</v>
      </c>
      <c r="E19" s="3">
        <v>0</v>
      </c>
      <c r="F19" s="3">
        <v>3</v>
      </c>
      <c r="G19" s="3">
        <v>0</v>
      </c>
      <c r="H19" s="3">
        <v>8</v>
      </c>
      <c r="I19" s="5">
        <f t="shared" si="2"/>
        <v>24584</v>
      </c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x14ac:dyDescent="0.3">
      <c r="A20" s="3">
        <v>17</v>
      </c>
      <c r="B20" t="s">
        <v>19</v>
      </c>
      <c r="D20" s="3">
        <v>0</v>
      </c>
      <c r="E20" s="3">
        <v>0</v>
      </c>
      <c r="F20" s="3">
        <v>3</v>
      </c>
      <c r="G20" s="3">
        <v>0</v>
      </c>
      <c r="H20" s="3">
        <v>8</v>
      </c>
      <c r="I20" s="5">
        <f t="shared" si="2"/>
        <v>24584</v>
      </c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x14ac:dyDescent="0.3">
      <c r="A21" s="3">
        <v>18</v>
      </c>
      <c r="B21" t="s">
        <v>19</v>
      </c>
      <c r="D21" s="3">
        <v>0</v>
      </c>
      <c r="E21" s="3">
        <v>0</v>
      </c>
      <c r="F21" s="3">
        <v>3</v>
      </c>
      <c r="G21" s="3">
        <v>0</v>
      </c>
      <c r="H21" s="3">
        <v>8</v>
      </c>
      <c r="I21" s="5">
        <f t="shared" si="0"/>
        <v>24584</v>
      </c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x14ac:dyDescent="0.3">
      <c r="A22" s="3">
        <v>19</v>
      </c>
      <c r="B22" t="s">
        <v>19</v>
      </c>
      <c r="D22" s="3">
        <v>0</v>
      </c>
      <c r="E22" s="3">
        <v>0</v>
      </c>
      <c r="F22" s="3">
        <v>3</v>
      </c>
      <c r="G22" s="3">
        <v>0</v>
      </c>
      <c r="H22" s="3">
        <v>8</v>
      </c>
      <c r="I22" s="5">
        <f t="shared" si="0"/>
        <v>24584</v>
      </c>
      <c r="K22" s="3"/>
      <c r="M22" s="3"/>
      <c r="O22" s="3"/>
      <c r="Q22" s="3"/>
      <c r="S22" s="3"/>
    </row>
    <row r="23" spans="1:19" x14ac:dyDescent="0.3">
      <c r="A23" s="3">
        <v>20</v>
      </c>
      <c r="B23" t="s">
        <v>19</v>
      </c>
      <c r="D23" s="3">
        <v>0</v>
      </c>
      <c r="E23" s="3">
        <v>0</v>
      </c>
      <c r="F23" s="3">
        <v>3</v>
      </c>
      <c r="G23" s="3">
        <v>0</v>
      </c>
      <c r="H23" s="3">
        <v>8</v>
      </c>
      <c r="I23" s="5">
        <f t="shared" si="0"/>
        <v>24584</v>
      </c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x14ac:dyDescent="0.3">
      <c r="A24" s="3">
        <v>21</v>
      </c>
      <c r="B24" t="s">
        <v>18</v>
      </c>
      <c r="C24" t="s">
        <v>41</v>
      </c>
      <c r="D24" s="3">
        <v>0</v>
      </c>
      <c r="E24" s="3">
        <v>0</v>
      </c>
      <c r="F24" s="3">
        <v>3</v>
      </c>
      <c r="G24" s="3">
        <v>0</v>
      </c>
      <c r="H24" s="3">
        <v>8</v>
      </c>
      <c r="I24" s="7">
        <f t="shared" ref="I24" si="3">2^17*D24+2^16*E24+2^13*F24+2^7*G24+H24</f>
        <v>24584</v>
      </c>
      <c r="J24" s="3"/>
      <c r="K24" s="3"/>
      <c r="L24" s="3" t="s">
        <v>20</v>
      </c>
      <c r="M24" s="3"/>
      <c r="N24" s="3"/>
      <c r="O24" s="3"/>
      <c r="P24" s="3"/>
      <c r="Q24" s="3"/>
      <c r="R24" s="3"/>
      <c r="S24" s="3"/>
    </row>
    <row r="25" spans="1:19" x14ac:dyDescent="0.3">
      <c r="A25" s="3">
        <v>22</v>
      </c>
      <c r="B25" t="s">
        <v>51</v>
      </c>
      <c r="C25" t="s">
        <v>42</v>
      </c>
      <c r="D25" s="3">
        <v>0</v>
      </c>
      <c r="E25" s="3">
        <v>0</v>
      </c>
      <c r="F25" s="3">
        <v>3</v>
      </c>
      <c r="G25" s="3">
        <v>0</v>
      </c>
      <c r="H25" s="3">
        <v>16</v>
      </c>
      <c r="I25" s="7">
        <f t="shared" ref="I25" si="4">2^17*D25+2^16*E25+2^13*F25+2^7*G25+H25</f>
        <v>24592</v>
      </c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x14ac:dyDescent="0.3">
      <c r="A26" s="3">
        <v>23</v>
      </c>
      <c r="B26" t="s">
        <v>52</v>
      </c>
      <c r="C26" t="s">
        <v>43</v>
      </c>
      <c r="D26" s="3">
        <v>0</v>
      </c>
      <c r="E26" s="3">
        <v>0</v>
      </c>
      <c r="F26" s="3">
        <v>3</v>
      </c>
      <c r="G26" s="3">
        <v>0</v>
      </c>
      <c r="H26" s="3">
        <v>0</v>
      </c>
      <c r="I26" s="7">
        <f t="shared" si="0"/>
        <v>24576</v>
      </c>
      <c r="J26" s="3"/>
      <c r="K26" s="3" t="s">
        <v>21</v>
      </c>
      <c r="L26" s="3"/>
      <c r="M26" s="3" t="s">
        <v>21</v>
      </c>
      <c r="N26" s="3"/>
      <c r="P26" s="3"/>
      <c r="R26" s="3"/>
    </row>
    <row r="27" spans="1:19" x14ac:dyDescent="0.3">
      <c r="I27" t="s">
        <v>135</v>
      </c>
      <c r="J27" s="9">
        <v>0</v>
      </c>
      <c r="K27" s="10"/>
      <c r="L27" s="9">
        <v>21</v>
      </c>
      <c r="M27" s="10"/>
      <c r="N27" s="13">
        <v>5</v>
      </c>
      <c r="O27" s="13"/>
      <c r="P27" s="13">
        <v>0</v>
      </c>
      <c r="Q27" s="13"/>
      <c r="R27" s="9">
        <v>0</v>
      </c>
      <c r="S27" s="10"/>
    </row>
    <row r="28" spans="1:19" x14ac:dyDescent="0.3">
      <c r="I28" t="s">
        <v>136</v>
      </c>
      <c r="J28" s="9">
        <v>23</v>
      </c>
      <c r="K28" s="10"/>
      <c r="L28" s="9">
        <v>23</v>
      </c>
      <c r="M28" s="10"/>
      <c r="N28" s="13">
        <v>14</v>
      </c>
      <c r="O28" s="13"/>
      <c r="P28" s="13">
        <v>4</v>
      </c>
      <c r="Q28" s="13"/>
      <c r="R28" s="9">
        <v>0</v>
      </c>
      <c r="S28" s="10"/>
    </row>
    <row r="29" spans="1:19" x14ac:dyDescent="0.3">
      <c r="I29" t="s">
        <v>137</v>
      </c>
      <c r="J29" s="10">
        <v>0</v>
      </c>
      <c r="K29" s="10"/>
      <c r="L29" s="10">
        <v>0</v>
      </c>
      <c r="M29" s="10"/>
      <c r="N29" s="10">
        <v>0</v>
      </c>
      <c r="O29" s="10"/>
      <c r="P29" s="10">
        <v>0</v>
      </c>
      <c r="Q29" s="10"/>
      <c r="R29" s="10">
        <v>0</v>
      </c>
      <c r="S29" s="10"/>
    </row>
    <row r="30" spans="1:19" x14ac:dyDescent="0.3">
      <c r="I30" t="s">
        <v>138</v>
      </c>
      <c r="J30" s="10" t="s">
        <v>22</v>
      </c>
      <c r="K30" s="10"/>
      <c r="L30" s="10" t="s">
        <v>22</v>
      </c>
      <c r="M30" s="10"/>
      <c r="N30" s="10" t="s">
        <v>22</v>
      </c>
      <c r="O30" s="10"/>
      <c r="P30" s="10" t="s">
        <v>22</v>
      </c>
      <c r="Q30" s="10"/>
      <c r="R30" s="10" t="s">
        <v>22</v>
      </c>
      <c r="S30" s="10"/>
    </row>
    <row r="31" spans="1:19" x14ac:dyDescent="0.3">
      <c r="I31" t="s">
        <v>139</v>
      </c>
      <c r="J31" s="11" t="s">
        <v>0</v>
      </c>
      <c r="K31" s="10"/>
      <c r="L31" s="11" t="s">
        <v>0</v>
      </c>
      <c r="M31" s="10"/>
      <c r="N31" s="11" t="s">
        <v>0</v>
      </c>
      <c r="O31" s="10"/>
      <c r="P31" s="11" t="s">
        <v>0</v>
      </c>
      <c r="Q31" s="10"/>
      <c r="R31" s="11" t="s">
        <v>0</v>
      </c>
      <c r="S31" s="10"/>
    </row>
    <row r="32" spans="1:19" x14ac:dyDescent="0.3">
      <c r="I32" t="s">
        <v>140</v>
      </c>
      <c r="J32" s="10">
        <v>0</v>
      </c>
      <c r="K32" s="10"/>
      <c r="L32" s="10">
        <v>1</v>
      </c>
      <c r="M32" s="10"/>
      <c r="N32" s="10">
        <v>1</v>
      </c>
      <c r="O32" s="10"/>
      <c r="P32" s="10">
        <f>2^4+11</f>
        <v>27</v>
      </c>
      <c r="Q32" s="10"/>
      <c r="R32" s="10">
        <v>0</v>
      </c>
      <c r="S32" s="10"/>
    </row>
    <row r="33" spans="9:19" ht="28.8" x14ac:dyDescent="0.3">
      <c r="I33" s="4" t="s">
        <v>28</v>
      </c>
      <c r="J33" s="11" t="s">
        <v>0</v>
      </c>
      <c r="K33" s="10"/>
      <c r="L33" s="10" t="s">
        <v>26</v>
      </c>
      <c r="M33" s="10"/>
      <c r="N33" s="10" t="s">
        <v>26</v>
      </c>
      <c r="O33" s="10"/>
      <c r="P33" s="10" t="s">
        <v>26</v>
      </c>
      <c r="Q33" s="10"/>
      <c r="R33" s="11" t="s">
        <v>0</v>
      </c>
      <c r="S33" s="10"/>
    </row>
    <row r="34" spans="9:19" ht="28.8" x14ac:dyDescent="0.3">
      <c r="I34" s="4" t="s">
        <v>27</v>
      </c>
      <c r="J34" s="12" t="s">
        <v>23</v>
      </c>
      <c r="K34" s="10"/>
      <c r="L34" s="10" t="s">
        <v>141</v>
      </c>
      <c r="M34" s="10"/>
      <c r="N34" s="10" t="s">
        <v>141</v>
      </c>
      <c r="O34" s="10"/>
      <c r="P34" s="10" t="s">
        <v>141</v>
      </c>
      <c r="Q34" s="10"/>
      <c r="R34" s="10" t="s">
        <v>8</v>
      </c>
      <c r="S34" s="10"/>
    </row>
    <row r="35" spans="9:19" x14ac:dyDescent="0.3">
      <c r="I35"/>
    </row>
  </sheetData>
  <customSheetViews>
    <customSheetView guid="{AB8E8BA2-0521-46C5-947F-61508E76D025}" scale="85">
      <pane xSplit="9" ySplit="2" topLeftCell="J3" activePane="bottomRight" state="frozen"/>
      <selection pane="bottomRight" activeCell="K31" sqref="K31"/>
      <pageMargins left="0.7" right="0.7" top="0.75" bottom="0.75" header="0.3" footer="0.3"/>
    </customSheetView>
    <customSheetView guid="{EAB3996E-FAEF-43F6-8577-BE0258DFEECA}" scale="85">
      <pane xSplit="9" ySplit="2" topLeftCell="J3" activePane="bottomRight" state="frozen"/>
      <selection pane="bottomRight" activeCell="K31" sqref="K31"/>
      <pageMargins left="0.7" right="0.7" top="0.75" bottom="0.75" header="0.3" footer="0.3"/>
    </customSheetView>
  </customSheetView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22"/>
  <sheetViews>
    <sheetView zoomScaleNormal="100" workbookViewId="0">
      <pane ySplit="2" topLeftCell="A3" activePane="bottomLeft" state="frozen"/>
      <selection pane="bottomLeft" activeCell="A31" sqref="A31"/>
    </sheetView>
  </sheetViews>
  <sheetFormatPr defaultColWidth="25.6640625" defaultRowHeight="14.4" x14ac:dyDescent="0.3"/>
  <cols>
    <col min="1" max="1" width="20.5546875" style="3" bestFit="1" customWidth="1"/>
    <col min="2" max="2" width="32.21875" customWidth="1"/>
    <col min="3" max="3" width="18.77734375" style="3" customWidth="1"/>
    <col min="4" max="4" width="17.77734375" customWidth="1"/>
    <col min="5" max="5" width="36" bestFit="1" customWidth="1"/>
  </cols>
  <sheetData>
    <row r="1" spans="1:5" x14ac:dyDescent="0.3">
      <c r="A1" s="14" t="s">
        <v>44</v>
      </c>
      <c r="B1" s="15" t="s">
        <v>45</v>
      </c>
      <c r="C1" s="15" t="s">
        <v>46</v>
      </c>
      <c r="D1" s="15" t="s">
        <v>47</v>
      </c>
      <c r="E1" s="15" t="s">
        <v>48</v>
      </c>
    </row>
    <row r="2" spans="1:5" x14ac:dyDescent="0.3">
      <c r="A2" s="14"/>
      <c r="B2" s="15"/>
      <c r="C2" s="15"/>
    </row>
    <row r="3" spans="1:5" x14ac:dyDescent="0.3">
      <c r="A3" s="3" t="s">
        <v>114</v>
      </c>
      <c r="B3" s="3" t="s">
        <v>1</v>
      </c>
      <c r="C3" s="3">
        <f>2/(20+2)</f>
        <v>9.0909090909090912E-2</v>
      </c>
      <c r="D3" s="3">
        <f>1/C3</f>
        <v>11</v>
      </c>
      <c r="E3" s="3" t="s">
        <v>49</v>
      </c>
    </row>
    <row r="4" spans="1:5" x14ac:dyDescent="0.3">
      <c r="A4" s="3" t="s">
        <v>115</v>
      </c>
      <c r="B4" s="3" t="s">
        <v>2</v>
      </c>
      <c r="C4" s="3">
        <v>1</v>
      </c>
      <c r="D4" s="3">
        <v>1</v>
      </c>
      <c r="E4" s="3" t="s">
        <v>8</v>
      </c>
    </row>
    <row r="5" spans="1:5" x14ac:dyDescent="0.3">
      <c r="A5" s="3" t="s">
        <v>116</v>
      </c>
      <c r="B5" s="29" t="s">
        <v>72</v>
      </c>
      <c r="C5" s="3">
        <f>34.8/234.8</f>
        <v>0.1482112436115843</v>
      </c>
      <c r="D5" s="3">
        <f>1/C5</f>
        <v>6.7471264367816106</v>
      </c>
      <c r="E5" s="3" t="s">
        <v>92</v>
      </c>
    </row>
    <row r="6" spans="1:5" x14ac:dyDescent="0.3">
      <c r="A6" s="3" t="s">
        <v>117</v>
      </c>
      <c r="B6" s="3" t="s">
        <v>73</v>
      </c>
      <c r="C6" s="3">
        <f>34.8/234.8</f>
        <v>0.1482112436115843</v>
      </c>
      <c r="D6" s="3">
        <f>1/C6</f>
        <v>6.7471264367816106</v>
      </c>
      <c r="E6" s="3" t="s">
        <v>93</v>
      </c>
    </row>
    <row r="7" spans="1:5" x14ac:dyDescent="0.3">
      <c r="A7" s="3" t="s">
        <v>118</v>
      </c>
      <c r="B7" s="3" t="s">
        <v>74</v>
      </c>
      <c r="C7" s="3">
        <v>1</v>
      </c>
      <c r="D7" s="3">
        <v>1</v>
      </c>
      <c r="E7" s="3" t="s">
        <v>8</v>
      </c>
    </row>
    <row r="8" spans="1:5" x14ac:dyDescent="0.3">
      <c r="A8" s="3" t="s">
        <v>119</v>
      </c>
      <c r="B8" s="3" t="s">
        <v>75</v>
      </c>
      <c r="C8" s="3">
        <v>1</v>
      </c>
      <c r="D8" s="3">
        <v>1</v>
      </c>
      <c r="E8" s="3" t="s">
        <v>8</v>
      </c>
    </row>
    <row r="9" spans="1:5" x14ac:dyDescent="0.3">
      <c r="A9" s="3" t="s">
        <v>120</v>
      </c>
      <c r="B9" s="30" t="s">
        <v>0</v>
      </c>
      <c r="C9" s="3" t="s">
        <v>8</v>
      </c>
      <c r="D9" s="3" t="s">
        <v>8</v>
      </c>
      <c r="E9" s="3" t="s">
        <v>8</v>
      </c>
    </row>
    <row r="10" spans="1:5" x14ac:dyDescent="0.3">
      <c r="A10" s="3" t="s">
        <v>121</v>
      </c>
      <c r="B10" s="3" t="s">
        <v>76</v>
      </c>
      <c r="C10" s="3">
        <v>1</v>
      </c>
      <c r="D10" s="3">
        <v>1</v>
      </c>
      <c r="E10" s="3" t="s">
        <v>8</v>
      </c>
    </row>
    <row r="11" spans="1:5" x14ac:dyDescent="0.3">
      <c r="A11" s="3" t="s">
        <v>122</v>
      </c>
      <c r="B11" s="3" t="s">
        <v>0</v>
      </c>
      <c r="C11" s="3" t="s">
        <v>8</v>
      </c>
      <c r="D11" s="3" t="s">
        <v>8</v>
      </c>
      <c r="E11" s="3" t="s">
        <v>8</v>
      </c>
    </row>
    <row r="12" spans="1:5" x14ac:dyDescent="0.3">
      <c r="A12" s="3" t="s">
        <v>123</v>
      </c>
      <c r="B12" s="3" t="s">
        <v>3</v>
      </c>
      <c r="C12" s="3">
        <f>20/120</f>
        <v>0.16666666666666666</v>
      </c>
      <c r="D12" s="3">
        <f>1/C12</f>
        <v>6</v>
      </c>
      <c r="E12" s="3" t="s">
        <v>50</v>
      </c>
    </row>
    <row r="13" spans="1:5" x14ac:dyDescent="0.3">
      <c r="A13" s="3" t="s">
        <v>124</v>
      </c>
      <c r="B13" s="3" t="s">
        <v>0</v>
      </c>
      <c r="C13" s="3" t="s">
        <v>8</v>
      </c>
      <c r="D13" s="3" t="s">
        <v>8</v>
      </c>
      <c r="E13" s="3" t="s">
        <v>8</v>
      </c>
    </row>
    <row r="14" spans="1:5" x14ac:dyDescent="0.3">
      <c r="A14" s="3" t="s">
        <v>125</v>
      </c>
      <c r="B14" s="30" t="s">
        <v>0</v>
      </c>
      <c r="C14" s="3" t="s">
        <v>8</v>
      </c>
      <c r="D14" s="3" t="s">
        <v>8</v>
      </c>
      <c r="E14" s="3" t="s">
        <v>8</v>
      </c>
    </row>
    <row r="15" spans="1:5" x14ac:dyDescent="0.3">
      <c r="A15" s="3" t="s">
        <v>126</v>
      </c>
      <c r="B15" s="30" t="s">
        <v>0</v>
      </c>
      <c r="C15" s="3" t="s">
        <v>8</v>
      </c>
      <c r="D15" s="3" t="s">
        <v>8</v>
      </c>
      <c r="E15" s="3" t="s">
        <v>8</v>
      </c>
    </row>
    <row r="16" spans="1:5" x14ac:dyDescent="0.3">
      <c r="A16" s="3" t="s">
        <v>127</v>
      </c>
      <c r="B16" s="30" t="s">
        <v>0</v>
      </c>
      <c r="C16" s="3" t="s">
        <v>8</v>
      </c>
      <c r="D16" s="3" t="s">
        <v>8</v>
      </c>
      <c r="E16" s="3" t="s">
        <v>8</v>
      </c>
    </row>
    <row r="17" spans="1:5" x14ac:dyDescent="0.3">
      <c r="A17" s="3" t="s">
        <v>128</v>
      </c>
      <c r="B17" s="30" t="s">
        <v>0</v>
      </c>
      <c r="C17" s="3" t="s">
        <v>8</v>
      </c>
      <c r="D17" s="3" t="s">
        <v>8</v>
      </c>
      <c r="E17" s="3" t="s">
        <v>8</v>
      </c>
    </row>
    <row r="18" spans="1:5" x14ac:dyDescent="0.3">
      <c r="A18" s="3" t="s">
        <v>129</v>
      </c>
      <c r="B18" s="30" t="s">
        <v>0</v>
      </c>
      <c r="C18" s="3" t="s">
        <v>8</v>
      </c>
      <c r="D18" s="3" t="s">
        <v>8</v>
      </c>
      <c r="E18" s="3" t="s">
        <v>8</v>
      </c>
    </row>
    <row r="19" spans="1:5" x14ac:dyDescent="0.3">
      <c r="A19" s="3" t="s">
        <v>130</v>
      </c>
      <c r="B19" s="30" t="s">
        <v>0</v>
      </c>
      <c r="C19" s="3" t="s">
        <v>8</v>
      </c>
      <c r="D19" s="3" t="s">
        <v>8</v>
      </c>
      <c r="E19" s="3" t="s">
        <v>8</v>
      </c>
    </row>
    <row r="20" spans="1:5" x14ac:dyDescent="0.3">
      <c r="A20" s="3" t="s">
        <v>131</v>
      </c>
      <c r="B20" s="30" t="s">
        <v>0</v>
      </c>
      <c r="C20" s="3" t="s">
        <v>8</v>
      </c>
      <c r="D20" s="3" t="s">
        <v>8</v>
      </c>
      <c r="E20" s="3" t="s">
        <v>8</v>
      </c>
    </row>
    <row r="21" spans="1:5" x14ac:dyDescent="0.3">
      <c r="A21" s="3" t="s">
        <v>132</v>
      </c>
      <c r="B21" s="30" t="s">
        <v>0</v>
      </c>
      <c r="C21" s="3" t="s">
        <v>8</v>
      </c>
      <c r="D21" s="3" t="s">
        <v>8</v>
      </c>
      <c r="E21" s="3" t="s">
        <v>8</v>
      </c>
    </row>
    <row r="22" spans="1:5" x14ac:dyDescent="0.3">
      <c r="A22" s="3" t="s">
        <v>133</v>
      </c>
      <c r="B22" s="30" t="s">
        <v>0</v>
      </c>
      <c r="C22" s="3" t="s">
        <v>8</v>
      </c>
      <c r="D22" s="3" t="s">
        <v>8</v>
      </c>
      <c r="E22" s="3" t="s">
        <v>8</v>
      </c>
    </row>
  </sheetData>
  <autoFilter ref="A2:E14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47"/>
  <sheetViews>
    <sheetView zoomScale="70" zoomScaleNormal="70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Q11" sqref="Q11"/>
    </sheetView>
  </sheetViews>
  <sheetFormatPr defaultRowHeight="14.4" x14ac:dyDescent="0.3"/>
  <cols>
    <col min="1" max="1" width="9" style="3" bestFit="1" customWidth="1"/>
    <col min="2" max="2" width="26.33203125" bestFit="1" customWidth="1"/>
    <col min="3" max="3" width="23.33203125" bestFit="1" customWidth="1"/>
    <col min="4" max="8" width="5.33203125" style="3" bestFit="1" customWidth="1"/>
    <col min="9" max="9" width="19.5546875" style="3" bestFit="1" customWidth="1"/>
    <col min="10" max="10" width="20.109375" bestFit="1" customWidth="1"/>
    <col min="11" max="11" width="16.88671875" bestFit="1" customWidth="1"/>
    <col min="12" max="12" width="19.6640625" bestFit="1" customWidth="1"/>
    <col min="13" max="13" width="16.33203125" bestFit="1" customWidth="1"/>
    <col min="14" max="14" width="20.109375" bestFit="1" customWidth="1"/>
    <col min="15" max="15" width="16.33203125" bestFit="1" customWidth="1"/>
    <col min="16" max="16" width="20.109375" bestFit="1" customWidth="1"/>
    <col min="17" max="17" width="12.44140625" bestFit="1" customWidth="1"/>
    <col min="18" max="18" width="20.109375" bestFit="1" customWidth="1"/>
    <col min="19" max="19" width="11.109375" bestFit="1" customWidth="1"/>
  </cols>
  <sheetData>
    <row r="1" spans="1:19" ht="15" x14ac:dyDescent="0.25">
      <c r="J1" s="2" t="s">
        <v>29</v>
      </c>
      <c r="K1" s="6"/>
      <c r="L1" s="2" t="s">
        <v>30</v>
      </c>
      <c r="M1" s="6"/>
      <c r="N1" s="2" t="s">
        <v>31</v>
      </c>
      <c r="O1" s="6"/>
      <c r="P1" s="2" t="s">
        <v>32</v>
      </c>
      <c r="Q1" s="6"/>
      <c r="R1" s="2" t="s">
        <v>33</v>
      </c>
      <c r="S1" s="6"/>
    </row>
    <row r="2" spans="1:19" ht="64.5" customHeight="1" x14ac:dyDescent="0.3">
      <c r="A2" s="4" t="s">
        <v>24</v>
      </c>
      <c r="B2" t="s">
        <v>15</v>
      </c>
      <c r="C2" t="s">
        <v>16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17</v>
      </c>
      <c r="I2" s="4" t="s">
        <v>143</v>
      </c>
      <c r="J2" s="3" t="s">
        <v>20</v>
      </c>
      <c r="K2" s="3" t="s">
        <v>21</v>
      </c>
      <c r="L2" s="3" t="s">
        <v>20</v>
      </c>
      <c r="M2" s="3" t="s">
        <v>21</v>
      </c>
      <c r="N2" s="3" t="s">
        <v>20</v>
      </c>
      <c r="O2" s="3" t="s">
        <v>21</v>
      </c>
      <c r="P2" s="3" t="s">
        <v>20</v>
      </c>
      <c r="Q2" s="3" t="s">
        <v>21</v>
      </c>
      <c r="R2" s="3" t="s">
        <v>20</v>
      </c>
      <c r="S2" s="3" t="s">
        <v>21</v>
      </c>
    </row>
    <row r="3" spans="1:19" s="22" customFormat="1" x14ac:dyDescent="0.3">
      <c r="A3" s="19">
        <v>0</v>
      </c>
      <c r="B3" s="20" t="s">
        <v>53</v>
      </c>
      <c r="C3" s="20" t="s">
        <v>54</v>
      </c>
      <c r="D3" s="21">
        <v>0</v>
      </c>
      <c r="E3" s="21">
        <v>0</v>
      </c>
      <c r="F3" s="21">
        <v>3</v>
      </c>
      <c r="G3" s="21">
        <v>0</v>
      </c>
      <c r="H3" s="21">
        <v>4</v>
      </c>
      <c r="I3" s="19">
        <f>2^17*D3+2^16*E3+2^13*F3+2^7*G3+H3</f>
        <v>24580</v>
      </c>
      <c r="J3" s="19" t="s">
        <v>20</v>
      </c>
      <c r="K3" s="19"/>
      <c r="L3" s="19"/>
      <c r="M3" s="19"/>
      <c r="O3" s="19"/>
      <c r="P3" s="19" t="s">
        <v>20</v>
      </c>
      <c r="Q3" s="19"/>
      <c r="R3" s="19" t="s">
        <v>20</v>
      </c>
      <c r="S3" s="19" t="s">
        <v>21</v>
      </c>
    </row>
    <row r="4" spans="1:19" x14ac:dyDescent="0.3">
      <c r="A4" s="3">
        <v>1</v>
      </c>
      <c r="B4" s="31" t="s">
        <v>2</v>
      </c>
      <c r="C4" t="s">
        <v>10</v>
      </c>
      <c r="D4" s="3">
        <v>0</v>
      </c>
      <c r="E4" s="3">
        <v>0</v>
      </c>
      <c r="F4" s="3">
        <v>0</v>
      </c>
      <c r="G4" s="3">
        <v>0</v>
      </c>
      <c r="H4" s="3">
        <v>1</v>
      </c>
      <c r="I4" s="5">
        <f t="shared" ref="I4:I26" si="0">2^17*D4+2^16*E4+2^13*F4+2^7*G4+H4</f>
        <v>1</v>
      </c>
      <c r="J4" s="3"/>
      <c r="K4" s="3"/>
      <c r="L4" s="3"/>
      <c r="M4" s="3"/>
      <c r="N4" s="3"/>
      <c r="O4" s="3"/>
      <c r="P4" s="3"/>
      <c r="Q4" s="3"/>
      <c r="R4" s="3"/>
      <c r="S4" s="3"/>
    </row>
    <row r="5" spans="1:19" x14ac:dyDescent="0.3">
      <c r="A5" s="3">
        <v>2</v>
      </c>
      <c r="B5" s="32" t="s">
        <v>72</v>
      </c>
      <c r="C5" t="s">
        <v>85</v>
      </c>
      <c r="D5" s="3">
        <v>0</v>
      </c>
      <c r="E5" s="3">
        <v>0</v>
      </c>
      <c r="F5" s="3">
        <v>0</v>
      </c>
      <c r="G5" s="3">
        <v>0</v>
      </c>
      <c r="H5" s="3">
        <v>2</v>
      </c>
      <c r="I5" s="5">
        <f t="shared" si="0"/>
        <v>2</v>
      </c>
      <c r="J5" s="3"/>
      <c r="K5" s="3"/>
      <c r="L5" s="3"/>
      <c r="M5" s="3"/>
      <c r="N5" s="3"/>
      <c r="O5" s="3"/>
      <c r="P5" s="3"/>
      <c r="Q5" s="3"/>
      <c r="R5" s="3"/>
      <c r="S5" s="3"/>
    </row>
    <row r="6" spans="1:19" x14ac:dyDescent="0.3">
      <c r="A6" s="3">
        <v>3</v>
      </c>
      <c r="B6" s="31" t="s">
        <v>73</v>
      </c>
      <c r="C6" t="s">
        <v>86</v>
      </c>
      <c r="D6" s="3">
        <v>0</v>
      </c>
      <c r="E6" s="3">
        <v>0</v>
      </c>
      <c r="F6" s="3">
        <v>0</v>
      </c>
      <c r="G6" s="3">
        <v>0</v>
      </c>
      <c r="H6" s="3">
        <v>3</v>
      </c>
      <c r="I6" s="5">
        <f t="shared" si="0"/>
        <v>3</v>
      </c>
      <c r="J6" s="3"/>
      <c r="K6" s="3"/>
      <c r="L6" s="3"/>
      <c r="M6" s="3"/>
      <c r="P6" s="3"/>
      <c r="Q6" s="3"/>
      <c r="R6" s="3"/>
      <c r="S6" s="3"/>
    </row>
    <row r="7" spans="1:19" x14ac:dyDescent="0.3">
      <c r="A7" s="3">
        <v>4</v>
      </c>
      <c r="B7" s="31" t="s">
        <v>74</v>
      </c>
      <c r="C7" t="s">
        <v>88</v>
      </c>
      <c r="D7" s="3">
        <v>0</v>
      </c>
      <c r="E7" s="3">
        <v>0</v>
      </c>
      <c r="F7" s="3">
        <v>0</v>
      </c>
      <c r="G7" s="3">
        <v>0</v>
      </c>
      <c r="H7" s="3">
        <v>4</v>
      </c>
      <c r="I7" s="5">
        <f t="shared" si="0"/>
        <v>4</v>
      </c>
      <c r="J7" s="3"/>
      <c r="K7" s="3"/>
      <c r="L7" s="3"/>
      <c r="M7" s="3"/>
      <c r="N7" s="3"/>
      <c r="O7" s="3"/>
      <c r="P7" s="3"/>
      <c r="R7" s="3"/>
    </row>
    <row r="8" spans="1:19" x14ac:dyDescent="0.3">
      <c r="A8" s="3">
        <v>5</v>
      </c>
      <c r="B8" s="33" t="s">
        <v>75</v>
      </c>
      <c r="C8" s="16" t="s">
        <v>87</v>
      </c>
      <c r="D8" s="17">
        <v>0</v>
      </c>
      <c r="E8" s="17">
        <v>0</v>
      </c>
      <c r="F8" s="17">
        <v>0</v>
      </c>
      <c r="G8" s="17">
        <v>0</v>
      </c>
      <c r="H8" s="17">
        <v>5</v>
      </c>
      <c r="I8" s="5">
        <f>2^17*D8+2^16*E8+2^13*F8+2^7*G8+H8</f>
        <v>5</v>
      </c>
      <c r="J8" s="3"/>
      <c r="K8" s="3"/>
      <c r="L8" s="3"/>
      <c r="M8" s="3"/>
      <c r="N8" s="3"/>
      <c r="O8" s="3"/>
      <c r="P8" s="3"/>
      <c r="Q8" s="3"/>
      <c r="R8" s="3"/>
      <c r="S8" s="3"/>
    </row>
    <row r="9" spans="1:19" x14ac:dyDescent="0.3">
      <c r="A9" s="3">
        <v>6</v>
      </c>
      <c r="B9" s="31" t="s">
        <v>76</v>
      </c>
      <c r="C9" s="1" t="s">
        <v>89</v>
      </c>
      <c r="D9" s="3">
        <v>0</v>
      </c>
      <c r="E9" s="3">
        <v>0</v>
      </c>
      <c r="F9" s="3">
        <v>0</v>
      </c>
      <c r="G9" s="3">
        <v>0</v>
      </c>
      <c r="H9" s="3">
        <v>7</v>
      </c>
      <c r="I9" s="5">
        <f>2^17*D9+2^16*E9+2^13*F9+2^7*G9+H9</f>
        <v>7</v>
      </c>
      <c r="J9" s="3"/>
      <c r="K9" s="3"/>
      <c r="L9" s="3"/>
      <c r="M9" s="3"/>
      <c r="N9" s="3"/>
      <c r="O9" s="3"/>
      <c r="P9" s="3"/>
      <c r="Q9" s="3"/>
      <c r="R9" s="3"/>
      <c r="S9" s="3"/>
    </row>
    <row r="10" spans="1:19" x14ac:dyDescent="0.3">
      <c r="A10" s="3">
        <v>7</v>
      </c>
      <c r="B10" s="31" t="s">
        <v>3</v>
      </c>
      <c r="C10" s="1" t="s">
        <v>9</v>
      </c>
      <c r="D10" s="3">
        <v>0</v>
      </c>
      <c r="E10" s="3">
        <v>0</v>
      </c>
      <c r="F10" s="3">
        <v>0</v>
      </c>
      <c r="G10" s="3">
        <v>0</v>
      </c>
      <c r="H10" s="3">
        <v>9</v>
      </c>
      <c r="I10" s="5">
        <f>2^17*D10+2^16*E10+2^13*F10+2^7*G10+H10</f>
        <v>9</v>
      </c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9" s="22" customFormat="1" x14ac:dyDescent="0.3">
      <c r="A11" s="3">
        <v>8</v>
      </c>
      <c r="B11" s="20" t="s">
        <v>55</v>
      </c>
      <c r="C11" s="23" t="s">
        <v>56</v>
      </c>
      <c r="D11" s="21">
        <v>0</v>
      </c>
      <c r="E11" s="21">
        <v>0</v>
      </c>
      <c r="F11" s="21">
        <v>3</v>
      </c>
      <c r="G11" s="21">
        <v>0</v>
      </c>
      <c r="H11" s="21">
        <v>12</v>
      </c>
      <c r="I11" s="19">
        <f t="shared" si="0"/>
        <v>24588</v>
      </c>
      <c r="J11" s="19"/>
      <c r="K11" s="19"/>
      <c r="L11" s="19"/>
      <c r="M11" s="19"/>
      <c r="N11" s="19"/>
      <c r="O11" s="19"/>
      <c r="Q11" s="19" t="s">
        <v>21</v>
      </c>
      <c r="S11" s="19"/>
    </row>
    <row r="12" spans="1:19" s="28" customFormat="1" x14ac:dyDescent="0.3">
      <c r="A12" s="3">
        <v>9</v>
      </c>
      <c r="B12" s="25" t="s">
        <v>53</v>
      </c>
      <c r="C12" s="26" t="s">
        <v>57</v>
      </c>
      <c r="D12" s="27">
        <v>0</v>
      </c>
      <c r="E12" s="27">
        <v>0</v>
      </c>
      <c r="F12" s="27">
        <v>3</v>
      </c>
      <c r="G12" s="27">
        <v>0</v>
      </c>
      <c r="H12" s="27">
        <v>4</v>
      </c>
      <c r="I12" s="24">
        <f t="shared" si="0"/>
        <v>24580</v>
      </c>
      <c r="J12" s="24"/>
      <c r="K12" s="24"/>
      <c r="L12" s="24"/>
      <c r="M12" s="24"/>
      <c r="N12" s="24" t="s">
        <v>20</v>
      </c>
      <c r="O12" s="24"/>
      <c r="P12" s="24"/>
      <c r="Q12" s="24"/>
      <c r="R12" s="24"/>
      <c r="S12" s="24"/>
    </row>
    <row r="13" spans="1:19" x14ac:dyDescent="0.3">
      <c r="A13" s="3">
        <v>10</v>
      </c>
      <c r="B13" t="s">
        <v>90</v>
      </c>
      <c r="C13" t="s">
        <v>91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5">
        <f>2^17*D13+2^16*E13+2^13*F13+2^7*G13+H13</f>
        <v>0</v>
      </c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9" s="28" customFormat="1" x14ac:dyDescent="0.3">
      <c r="A14" s="3">
        <v>11</v>
      </c>
      <c r="B14" s="25" t="s">
        <v>55</v>
      </c>
      <c r="C14" s="26" t="s">
        <v>58</v>
      </c>
      <c r="D14" s="27">
        <v>0</v>
      </c>
      <c r="E14" s="27">
        <v>0</v>
      </c>
      <c r="F14" s="27">
        <v>3</v>
      </c>
      <c r="G14" s="27">
        <v>0</v>
      </c>
      <c r="H14" s="27">
        <v>12</v>
      </c>
      <c r="I14" s="24">
        <f t="shared" si="0"/>
        <v>24588</v>
      </c>
      <c r="J14" s="24"/>
      <c r="K14" s="24"/>
      <c r="L14" s="24"/>
      <c r="M14" s="24"/>
      <c r="N14" s="24"/>
      <c r="O14" s="24" t="s">
        <v>21</v>
      </c>
      <c r="P14" s="24"/>
      <c r="Q14" s="24"/>
      <c r="R14" s="24"/>
      <c r="S14" s="24"/>
    </row>
    <row r="15" spans="1:19" x14ac:dyDescent="0.3">
      <c r="A15" s="3">
        <v>12</v>
      </c>
      <c r="B15" t="s">
        <v>19</v>
      </c>
      <c r="C15" s="1"/>
      <c r="D15" s="3">
        <v>0</v>
      </c>
      <c r="E15" s="3">
        <v>0</v>
      </c>
      <c r="F15" s="3">
        <v>3</v>
      </c>
      <c r="G15" s="3">
        <v>0</v>
      </c>
      <c r="H15" s="3">
        <v>8</v>
      </c>
      <c r="I15" s="5">
        <f t="shared" si="0"/>
        <v>24584</v>
      </c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9" x14ac:dyDescent="0.3">
      <c r="A16" s="3">
        <v>13</v>
      </c>
      <c r="B16" t="s">
        <v>19</v>
      </c>
      <c r="C16" s="1"/>
      <c r="D16" s="3">
        <v>0</v>
      </c>
      <c r="E16" s="3">
        <v>0</v>
      </c>
      <c r="F16" s="3">
        <v>3</v>
      </c>
      <c r="G16" s="3">
        <v>0</v>
      </c>
      <c r="H16" s="3">
        <v>8</v>
      </c>
      <c r="I16" s="5">
        <f t="shared" si="0"/>
        <v>24584</v>
      </c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x14ac:dyDescent="0.3">
      <c r="A17" s="3">
        <v>14</v>
      </c>
      <c r="B17" t="s">
        <v>19</v>
      </c>
      <c r="C17" s="1"/>
      <c r="D17" s="3">
        <v>0</v>
      </c>
      <c r="E17" s="3">
        <v>0</v>
      </c>
      <c r="F17" s="3">
        <v>3</v>
      </c>
      <c r="G17" s="3">
        <v>0</v>
      </c>
      <c r="H17" s="3">
        <v>8</v>
      </c>
      <c r="I17" s="5">
        <f t="shared" si="0"/>
        <v>24584</v>
      </c>
      <c r="J17" s="3"/>
      <c r="K17" s="3"/>
      <c r="L17" s="3"/>
      <c r="M17" s="3"/>
      <c r="N17" s="3"/>
      <c r="P17" s="3"/>
      <c r="R17" s="3"/>
    </row>
    <row r="18" spans="1:19" x14ac:dyDescent="0.3">
      <c r="A18" s="3">
        <v>15</v>
      </c>
      <c r="B18" t="s">
        <v>19</v>
      </c>
      <c r="C18" s="1"/>
      <c r="D18" s="3">
        <v>0</v>
      </c>
      <c r="E18" s="3">
        <v>0</v>
      </c>
      <c r="F18" s="3">
        <v>3</v>
      </c>
      <c r="G18" s="3">
        <v>0</v>
      </c>
      <c r="H18" s="3">
        <v>8</v>
      </c>
      <c r="I18" s="5">
        <f t="shared" si="0"/>
        <v>24584</v>
      </c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ht="15" x14ac:dyDescent="0.25">
      <c r="A19" s="3">
        <v>16</v>
      </c>
      <c r="B19" t="s">
        <v>19</v>
      </c>
      <c r="D19" s="3">
        <v>0</v>
      </c>
      <c r="E19" s="3">
        <v>0</v>
      </c>
      <c r="F19" s="3">
        <v>3</v>
      </c>
      <c r="G19" s="3">
        <v>0</v>
      </c>
      <c r="H19" s="3">
        <v>8</v>
      </c>
      <c r="I19" s="5">
        <f t="shared" si="0"/>
        <v>24584</v>
      </c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ht="15" x14ac:dyDescent="0.25">
      <c r="A20" s="3">
        <v>17</v>
      </c>
      <c r="B20" t="s">
        <v>19</v>
      </c>
      <c r="D20" s="3">
        <v>0</v>
      </c>
      <c r="E20" s="3">
        <v>0</v>
      </c>
      <c r="F20" s="3">
        <v>3</v>
      </c>
      <c r="G20" s="3">
        <v>0</v>
      </c>
      <c r="H20" s="3">
        <v>8</v>
      </c>
      <c r="I20" s="5">
        <f t="shared" si="0"/>
        <v>24584</v>
      </c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x14ac:dyDescent="0.3">
      <c r="A21" s="3">
        <v>18</v>
      </c>
      <c r="B21" t="s">
        <v>19</v>
      </c>
      <c r="D21" s="3">
        <v>0</v>
      </c>
      <c r="E21" s="3">
        <v>0</v>
      </c>
      <c r="F21" s="3">
        <v>3</v>
      </c>
      <c r="G21" s="3">
        <v>0</v>
      </c>
      <c r="H21" s="3">
        <v>8</v>
      </c>
      <c r="I21" s="5">
        <f t="shared" si="0"/>
        <v>24584</v>
      </c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x14ac:dyDescent="0.3">
      <c r="A22" s="3">
        <v>19</v>
      </c>
      <c r="B22" t="s">
        <v>19</v>
      </c>
      <c r="D22" s="3">
        <v>0</v>
      </c>
      <c r="E22" s="3">
        <v>0</v>
      </c>
      <c r="F22" s="3">
        <v>3</v>
      </c>
      <c r="G22" s="3">
        <v>0</v>
      </c>
      <c r="H22" s="3">
        <v>8</v>
      </c>
      <c r="I22" s="5">
        <f t="shared" si="0"/>
        <v>24584</v>
      </c>
      <c r="K22" s="3"/>
      <c r="M22" s="3"/>
      <c r="O22" s="3"/>
      <c r="Q22" s="3"/>
      <c r="S22" s="3"/>
    </row>
    <row r="23" spans="1:19" x14ac:dyDescent="0.3">
      <c r="A23" s="3">
        <v>20</v>
      </c>
      <c r="B23" t="s">
        <v>19</v>
      </c>
      <c r="D23" s="3">
        <v>0</v>
      </c>
      <c r="E23" s="3">
        <v>0</v>
      </c>
      <c r="F23" s="3">
        <v>3</v>
      </c>
      <c r="G23" s="3">
        <v>0</v>
      </c>
      <c r="H23" s="3">
        <v>8</v>
      </c>
      <c r="I23" s="5">
        <f t="shared" si="0"/>
        <v>24584</v>
      </c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x14ac:dyDescent="0.3">
      <c r="A24" s="3">
        <v>21</v>
      </c>
      <c r="B24" s="16" t="s">
        <v>18</v>
      </c>
      <c r="C24" s="16" t="s">
        <v>59</v>
      </c>
      <c r="D24" s="3">
        <v>0</v>
      </c>
      <c r="E24" s="3">
        <v>0</v>
      </c>
      <c r="F24" s="3">
        <v>3</v>
      </c>
      <c r="G24" s="3">
        <v>0</v>
      </c>
      <c r="H24" s="3">
        <v>8</v>
      </c>
      <c r="I24" s="7">
        <f t="shared" si="0"/>
        <v>24584</v>
      </c>
      <c r="J24" s="3"/>
      <c r="K24" s="3"/>
      <c r="L24" s="3" t="s">
        <v>20</v>
      </c>
      <c r="M24" s="3"/>
      <c r="N24" s="3"/>
      <c r="O24" s="3"/>
      <c r="P24" s="3"/>
      <c r="Q24" s="3"/>
      <c r="R24" s="3"/>
      <c r="S24" s="3"/>
    </row>
    <row r="25" spans="1:19" x14ac:dyDescent="0.3">
      <c r="A25" s="3">
        <v>22</v>
      </c>
      <c r="B25" s="16" t="s">
        <v>51</v>
      </c>
      <c r="C25" s="16" t="s">
        <v>60</v>
      </c>
      <c r="D25" s="3">
        <v>0</v>
      </c>
      <c r="E25" s="3">
        <v>0</v>
      </c>
      <c r="F25" s="3">
        <v>3</v>
      </c>
      <c r="G25" s="3">
        <v>0</v>
      </c>
      <c r="H25" s="3">
        <v>16</v>
      </c>
      <c r="I25" s="7">
        <f t="shared" si="0"/>
        <v>24592</v>
      </c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x14ac:dyDescent="0.3">
      <c r="A26" s="3">
        <v>23</v>
      </c>
      <c r="B26" s="16" t="s">
        <v>52</v>
      </c>
      <c r="C26" s="16" t="s">
        <v>61</v>
      </c>
      <c r="D26" s="3">
        <v>0</v>
      </c>
      <c r="E26" s="3">
        <v>0</v>
      </c>
      <c r="F26" s="3">
        <v>3</v>
      </c>
      <c r="G26" s="3">
        <v>0</v>
      </c>
      <c r="H26" s="3">
        <v>0</v>
      </c>
      <c r="I26" s="7">
        <f t="shared" si="0"/>
        <v>24576</v>
      </c>
      <c r="J26" s="3"/>
      <c r="K26" s="3" t="s">
        <v>21</v>
      </c>
      <c r="L26" s="3"/>
      <c r="M26" s="3" t="s">
        <v>21</v>
      </c>
      <c r="P26" s="3"/>
      <c r="R26" s="3"/>
      <c r="S26" s="3"/>
    </row>
    <row r="27" spans="1:19" x14ac:dyDescent="0.3">
      <c r="I27" t="s">
        <v>144</v>
      </c>
      <c r="J27" s="9">
        <v>0</v>
      </c>
      <c r="K27" s="10"/>
      <c r="L27" s="9">
        <v>21</v>
      </c>
      <c r="M27" s="10"/>
      <c r="N27" s="13">
        <v>9</v>
      </c>
      <c r="O27" s="13"/>
      <c r="P27" s="13">
        <v>0</v>
      </c>
      <c r="Q27" s="13"/>
      <c r="R27" s="9">
        <v>0</v>
      </c>
      <c r="S27" s="10"/>
    </row>
    <row r="28" spans="1:19" x14ac:dyDescent="0.3">
      <c r="B28" s="3"/>
      <c r="C28" s="3"/>
      <c r="I28" t="s">
        <v>145</v>
      </c>
      <c r="J28" s="9">
        <v>23</v>
      </c>
      <c r="K28" s="10"/>
      <c r="L28" s="9">
        <v>23</v>
      </c>
      <c r="M28" s="10"/>
      <c r="N28" s="13">
        <v>11</v>
      </c>
      <c r="O28" s="13"/>
      <c r="P28" s="13">
        <v>8</v>
      </c>
      <c r="Q28" s="13"/>
      <c r="R28" s="9">
        <v>0</v>
      </c>
      <c r="S28" s="10"/>
    </row>
    <row r="29" spans="1:19" x14ac:dyDescent="0.3">
      <c r="B29" s="3"/>
      <c r="C29" s="3"/>
      <c r="I29" t="s">
        <v>146</v>
      </c>
      <c r="J29" s="10">
        <v>0</v>
      </c>
      <c r="K29" s="10"/>
      <c r="L29" s="10">
        <v>0</v>
      </c>
      <c r="M29" s="10"/>
      <c r="N29" s="10">
        <v>0</v>
      </c>
      <c r="O29" s="10"/>
      <c r="P29" s="10">
        <v>0</v>
      </c>
      <c r="Q29" s="10"/>
      <c r="R29" s="10">
        <v>0</v>
      </c>
      <c r="S29" s="10"/>
    </row>
    <row r="30" spans="1:19" x14ac:dyDescent="0.3">
      <c r="C30" s="3"/>
      <c r="I30" t="s">
        <v>147</v>
      </c>
      <c r="J30" s="10" t="s">
        <v>22</v>
      </c>
      <c r="K30" s="10"/>
      <c r="L30" s="10" t="s">
        <v>22</v>
      </c>
      <c r="M30" s="10"/>
      <c r="N30" s="10" t="s">
        <v>22</v>
      </c>
      <c r="O30" s="10"/>
      <c r="P30" s="10" t="s">
        <v>22</v>
      </c>
      <c r="Q30" s="10"/>
      <c r="R30" s="10" t="s">
        <v>22</v>
      </c>
      <c r="S30" s="10"/>
    </row>
    <row r="31" spans="1:19" x14ac:dyDescent="0.3">
      <c r="B31" s="3"/>
      <c r="C31" s="3"/>
      <c r="I31" t="s">
        <v>148</v>
      </c>
      <c r="J31" s="11" t="s">
        <v>0</v>
      </c>
      <c r="K31" s="10"/>
      <c r="L31" s="11" t="s">
        <v>0</v>
      </c>
      <c r="M31" s="10"/>
      <c r="N31" s="11" t="s">
        <v>0</v>
      </c>
      <c r="O31" s="10"/>
      <c r="P31" s="11" t="s">
        <v>0</v>
      </c>
      <c r="Q31" s="10"/>
      <c r="R31" s="11" t="s">
        <v>0</v>
      </c>
      <c r="S31" s="10"/>
    </row>
    <row r="32" spans="1:19" x14ac:dyDescent="0.3">
      <c r="B32" s="3"/>
      <c r="C32" s="3"/>
      <c r="I32" t="s">
        <v>149</v>
      </c>
      <c r="J32" s="10">
        <v>0</v>
      </c>
      <c r="K32" s="10"/>
      <c r="L32" s="10">
        <v>1</v>
      </c>
      <c r="M32" s="10"/>
      <c r="N32" s="10">
        <v>1</v>
      </c>
      <c r="O32" s="10"/>
      <c r="P32" s="10">
        <f>2^4+11</f>
        <v>27</v>
      </c>
      <c r="Q32" s="10"/>
      <c r="R32" s="10">
        <v>0</v>
      </c>
      <c r="S32" s="10"/>
    </row>
    <row r="33" spans="2:19" ht="28.8" x14ac:dyDescent="0.3">
      <c r="B33" s="3"/>
      <c r="C33" s="3"/>
      <c r="I33" s="4" t="s">
        <v>28</v>
      </c>
      <c r="J33" s="11" t="s">
        <v>0</v>
      </c>
      <c r="K33" s="10"/>
      <c r="L33" s="10" t="s">
        <v>25</v>
      </c>
      <c r="M33" s="10"/>
      <c r="N33" s="10" t="s">
        <v>25</v>
      </c>
      <c r="O33" s="10"/>
      <c r="P33" s="10" t="s">
        <v>25</v>
      </c>
      <c r="Q33" s="10"/>
      <c r="R33" s="11" t="s">
        <v>0</v>
      </c>
      <c r="S33" s="10"/>
    </row>
    <row r="34" spans="2:19" ht="28.8" x14ac:dyDescent="0.3">
      <c r="I34" s="4" t="s">
        <v>27</v>
      </c>
      <c r="J34" s="12" t="s">
        <v>23</v>
      </c>
      <c r="K34" s="10"/>
      <c r="L34" s="10" t="s">
        <v>142</v>
      </c>
      <c r="M34" s="10"/>
      <c r="N34" s="10" t="s">
        <v>142</v>
      </c>
      <c r="O34" s="10"/>
      <c r="P34" s="10" t="s">
        <v>142</v>
      </c>
      <c r="Q34" s="10"/>
      <c r="R34" s="10" t="s">
        <v>8</v>
      </c>
      <c r="S34" s="10"/>
    </row>
    <row r="35" spans="2:19" x14ac:dyDescent="0.3">
      <c r="C35" s="3"/>
    </row>
    <row r="36" spans="2:19" x14ac:dyDescent="0.3">
      <c r="B36" s="3"/>
      <c r="C36" s="3"/>
    </row>
    <row r="38" spans="2:19" x14ac:dyDescent="0.3">
      <c r="B38" s="3"/>
    </row>
    <row r="39" spans="2:19" x14ac:dyDescent="0.3">
      <c r="C39" s="3"/>
    </row>
    <row r="40" spans="2:19" x14ac:dyDescent="0.3">
      <c r="C40" s="3"/>
    </row>
    <row r="47" spans="2:19" x14ac:dyDescent="0.3">
      <c r="F47" s="3">
        <v>1</v>
      </c>
    </row>
  </sheetData>
  <customSheetViews>
    <customSheetView guid="{AB8E8BA2-0521-46C5-947F-61508E76D025}" scale="70">
      <pane xSplit="9" ySplit="2" topLeftCell="J3" activePane="bottomRight" state="frozen"/>
      <selection pane="bottomRight" activeCell="L42" sqref="L42"/>
      <pageMargins left="0.7" right="0.7" top="0.75" bottom="0.75" header="0.3" footer="0.3"/>
      <pageSetup orientation="portrait" r:id="rId1"/>
    </customSheetView>
    <customSheetView guid="{EAB3996E-FAEF-43F6-8577-BE0258DFEECA}" scale="70">
      <pane xSplit="9" ySplit="2" topLeftCell="J3" activePane="bottomRight" state="frozen"/>
      <selection pane="bottomRight" activeCell="L42" sqref="L42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Adc0_PhyCh</vt:lpstr>
      <vt:lpstr>Adc0_MotCtrl</vt:lpstr>
      <vt:lpstr>Adc1_PhyCh</vt:lpstr>
      <vt:lpstr>Adc1_2mSec</vt:lpstr>
    </vt:vector>
  </TitlesOfParts>
  <Company>Nexteer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Erlenbeck, Jason M</dc:creator>
  <cp:lastModifiedBy>Chintapalli, Srikar</cp:lastModifiedBy>
  <dcterms:created xsi:type="dcterms:W3CDTF">2014-12-29T21:00:06Z</dcterms:created>
  <dcterms:modified xsi:type="dcterms:W3CDTF">2018-03-08T16:40:20Z</dcterms:modified>
</cp:coreProperties>
</file>